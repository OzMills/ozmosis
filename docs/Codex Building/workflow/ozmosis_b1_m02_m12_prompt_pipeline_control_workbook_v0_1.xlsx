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ca9e3ae3ae46fa" /></Relationships>
</file>

<file path=xl/workbook.xml><?xml version="1.0" encoding="utf-8"?>
<x:workbook xmlns:x="http://schemas.openxmlformats.org/spreadsheetml/2006/main">
  <x:sheets>
    <x:sheet xmlns:r="http://schemas.openxmlformats.org/officeDocument/2006/relationships" name="README" sheetId="1" r:id="R0d10ddd8293d4cb4"/>
    <x:sheet xmlns:r="http://schemas.openxmlformats.org/officeDocument/2006/relationships" name="Container Prompt" sheetId="2" r:id="Rac3059c069614859"/>
    <x:sheet xmlns:r="http://schemas.openxmlformats.org/officeDocument/2006/relationships" name="Module Variables" sheetId="3" r:id="R1c589edf11b74eca"/>
    <x:sheet xmlns:r="http://schemas.openxmlformats.org/officeDocument/2006/relationships" name="Prompt Queue" sheetId="4" r:id="Rcc8d1fa7ecc44f33"/>
    <x:sheet xmlns:r="http://schemas.openxmlformats.org/officeDocument/2006/relationships" name="Stage Templates" sheetId="5" r:id="R0713837bb5b84cdd"/>
    <x:sheet xmlns:r="http://schemas.openxmlformats.org/officeDocument/2006/relationships" name="Source Rules" sheetId="6" r:id="R94ad3d3ff1a94e6d"/>
    <x:sheet xmlns:r="http://schemas.openxmlformats.org/officeDocument/2006/relationships" name="Dashboard" sheetId="7" r:id="R92aa0da5e5ca4d2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FFFFFF"/>
      <x:name val="Carlito"/>
    </x:font>
    <x:font>
      <x:b/>
      <x:sz val="11"/>
      <x:color rgb="FFFFFF"/>
      <x:name val="Carlito"/>
    </x:font>
  </x:fonts>
  <x:fills count="6">
    <x:fill>
      <x:patternFill patternType="none"/>
    </x:fill>
    <x:fill>
      <x:patternFill patternType="gray125"/>
    </x:fill>
    <x:fill>
      <x:patternFill patternType="solid">
        <x:fgColor rgb="0B1220"/>
      </x:patternFill>
    </x:fill>
    <x:fill>
      <x:patternFill patternType="solid">
        <x:fgColor rgb="0E7490"/>
      </x:patternFill>
    </x:fill>
    <x:fill>
      <x:patternFill patternType="solid">
        <x:fgColor rgb="E6F8FC"/>
      </x:patternFill>
    </x:fill>
    <x:fill>
      <x:patternFill patternType="solid">
        <x:fgColor rgb="E2E8F0"/>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0" xfId="0" applyNumberFormat="1" applyFont="1" applyFill="1" applyBorder="1" applyAlignment="1">
      <x:alignment horizontal="center"/>
    </x:xf>
    <x:xf numFmtId="0" fontId="2" fillId="3" borderId="1" xfId="0" applyNumberFormat="1" applyFont="1" applyFill="1" applyBorder="1" applyAlignment="1">
      <x:alignment horizontal="center"/>
    </x:xf>
    <x:xf numFmtId="0" fontId="0" fillId="4" borderId="0" xfId="0" applyNumberFormat="1" applyFont="1" applyFill="1" applyBorder="1"/>
    <x:xf numFmtId="0" fontId="0" fillId="4" borderId="1" xfId="0" applyNumberFormat="1" applyFont="1" applyFill="1" applyBorder="1"/>
    <x:xf numFmtId="0" fontId="0" fillId="5" borderId="0" xfId="0" applyNumberFormat="1" applyFont="1" applyFill="1" applyBorder="1"/>
  </x:cellXfs>
  <x:cellStyles count="1">
    <x:cellStyle name="Normal" xfId="0"/>
  </x:cellStyles>
  <x:dxfs count="3">
    <x:dxf>
      <x:fill>
        <x:patternFill patternType="solid">
          <x:bgColor rgb="DCFCE7"/>
        </x:patternFill>
      </x:fill>
    </x:dxf>
    <x:dxf>
      <x:fill>
        <x:patternFill patternType="solid">
          <x:bgColor rgb="FEF3C7"/>
        </x:patternFill>
      </x:fill>
    </x:dxf>
    <x:dxf>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81feeec99543cb" /><Relationship Type="http://schemas.openxmlformats.org/officeDocument/2006/relationships/theme" Target="/xl/theme/theme1.xml" Id="Rdb501c9e13f64d3b" /><Relationship Type="http://schemas.openxmlformats.org/officeDocument/2006/relationships/sharedStrings" Target="/xl/sharedStrings.xml" Id="R906e8591909041e4" /><Relationship Type="http://schemas.openxmlformats.org/officeDocument/2006/relationships/worksheet" Target="/xl/worksheets/sheet1.xml" Id="R0d10ddd8293d4cb4" /><Relationship Type="http://schemas.openxmlformats.org/officeDocument/2006/relationships/worksheet" Target="/xl/worksheets/sheet2.xml" Id="Rac3059c069614859" /><Relationship Type="http://schemas.openxmlformats.org/officeDocument/2006/relationships/worksheet" Target="/xl/worksheets/sheet3.xml" Id="R1c589edf11b74eca" /><Relationship Type="http://schemas.openxmlformats.org/officeDocument/2006/relationships/worksheet" Target="/xl/worksheets/sheet4.xml" Id="Rcc8d1fa7ecc44f33" /><Relationship Type="http://schemas.openxmlformats.org/officeDocument/2006/relationships/worksheet" Target="/xl/worksheets/sheet5.xml" Id="R0713837bb5b84cdd" /><Relationship Type="http://schemas.openxmlformats.org/officeDocument/2006/relationships/worksheet" Target="/xl/worksheets/sheet6.xml" Id="R94ad3d3ff1a94e6d" /><Relationship Type="http://schemas.openxmlformats.org/officeDocument/2006/relationships/worksheet" Target="/xl/worksheets/sheet7.xml" Id="R92aa0da5e5ca4d28" /></Relationships>
</file>

<file path=xl/tables/table1.xml><?xml version="1.0" encoding="utf-8"?>
<x:table xmlns:x="http://schemas.openxmlformats.org/spreadsheetml/2006/main" id="1" name="ModuleVariablesTable" displayName="ModuleVariablesTable" ref="A1:H12" headerRowCount="1">
  <x:tableColumns count="8">
    <x:tableColumn id="1" name="Module ID"/>
    <x:tableColumn id="2" name="Module Title"/>
    <x:tableColumn id="3" name="Internal Planning ID"/>
    <x:tableColumn id="4" name="Slug"/>
    <x:tableColumn id="5" name="Staged Output File"/>
    <x:tableColumn id="6" name="Spoke File"/>
    <x:tableColumn id="7" name="Draft Count"/>
    <x:tableColumn id="8" name="Version Hint"/>
  </x:tableColumns>
  <x:tableStyleInfo name="TableStyleMedium2" showRowStripes="1"/>
</x:table>
</file>

<file path=xl/tables/table2.xml><?xml version="1.0" encoding="utf-8"?>
<x:table xmlns:x="http://schemas.openxmlformats.org/spreadsheetml/2006/main" id="2" name="PromptQueueTable" displayName="PromptQueueTable" ref="A1:J43" headerRowCount="1">
  <x:tableColumns count="10">
    <x:tableColumn id="1" name="Step"/>
    <x:tableColumn id="2" name="Run?"/>
    <x:tableColumn id="3" name="Module"/>
    <x:tableColumn id="4" name="Module Title"/>
    <x:tableColumn id="5" name="Stage ID"/>
    <x:tableColumn id="6" name="Stage"/>
    <x:tableColumn id="7" name="Input File(s)"/>
    <x:tableColumn id="8" name="Expected Output File"/>
    <x:tableColumn id="9" name="Blocking Verdicts"/>
    <x:tableColumn id="10" name="Prompt Text"/>
  </x:tableColumns>
  <x:tableStyleInfo name="TableStyleMedium2" showRowStripes="1"/>
</x:table>
</file>

<file path=xl/tables/table3.xml><?xml version="1.0" encoding="utf-8"?>
<x:table xmlns:x="http://schemas.openxmlformats.org/spreadsheetml/2006/main" id="3" name="StageTemplatesTable" displayName="StageTemplatesTable" ref="A1:D7" headerRowCount="1">
  <x:tableColumns count="4">
    <x:tableColumn id="1" name="Stage ID"/>
    <x:tableColumn id="2" name="Purpose"/>
    <x:tableColumn id="3" name="Expected Output"/>
    <x:tableColumn id="4" name="Final Verdict Patter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52cbd8b10c4b4e7d" /></Relationships>
</file>

<file path=xl/worksheets/_rels/sheet4.xml.rels>&#65279;<?xml version="1.0" encoding="utf-8"?><Relationships xmlns="http://schemas.openxmlformats.org/package/2006/relationships"><Relationship Type="http://schemas.openxmlformats.org/officeDocument/2006/relationships/table" Target="/xl/tables/table2.xml" Id="R3a03cc1b84f14ff2" /></Relationships>
</file>

<file path=xl/worksheets/_rels/sheet5.xml.rels>&#65279;<?xml version="1.0" encoding="utf-8"?><Relationships xmlns="http://schemas.openxmlformats.org/package/2006/relationships"><Relationship Type="http://schemas.openxmlformats.org/officeDocument/2006/relationships/table" Target="/xl/tables/table3.xml" Id="R5d5392d1849c4577" /></Relationships>
</file>

<file path=xl/worksheets/sheet1.xml><?xml version="1.0" encoding="utf-8"?>
<x:worksheet xmlns:x="http://schemas.openxmlformats.org/spreadsheetml/2006/main">
  <x:sheetFormatPr defaultRowHeight="15"/>
  <x:cols>
    <x:col min="1" max="1" width="24" hidden="0" customWidth="1"/>
    <x:col min="2" max="2" width="90" hidden="0" customWidth="1"/>
  </x:cols>
  <x:sheetData>
    <x:row r="1">
      <x:c r="A1" s="4" t="str">
        <x:v>Ozmosis B1-02 to B1-12 Prompt Pipeline Control Workbook</x:v>
      </x:c>
    </x:row>
    <x:row r="3">
      <x:c r="A3" s="9" t="str">
        <x:v>Purpose</x:v>
      </x:c>
      <x:c r="B3" s="12" t="str">
        <x:v>Queue the required prompts to take B1-02 through B1-11 from staged draft output through QA, row reconciliation, schema mapping, and Codex import planning. B1-12 remains a deferred review shell.</x:v>
      </x:c>
    </x:row>
    <x:row r="4">
      <x:c r="A4" s="9" t="str">
        <x:v>How to use</x:v>
      </x:c>
      <x:c r="B4" s="12" t="str">
        <x:v>Copy the Container Prompt or upload this workbook and ask ChatGPT to execute rows in Prompt Queue order.</x:v>
      </x:c>
    </x:row>
    <x:row r="5">
      <x:c r="A5" s="9" t="str">
        <x:v>Do not skip</x:v>
      </x:c>
      <x:c r="B5" s="12" t="str">
        <x:v>Each row depends on the output of the prior row. Stop on blocker verdicts.</x:v>
      </x:c>
    </x:row>
    <x:row r="6">
      <x:c r="A6" s="9" t="str">
        <x:v>Codex</x:v>
      </x:c>
      <x:c r="B6" s="12" t="str">
        <x:v>This workbook does not run Codex and does not create final Codex implementation prompts.</x:v>
      </x:c>
    </x:row>
    <x:row r="7">
      <x:c r="A7" s="9" t="str">
        <x:v>App code</x:v>
      </x:c>
      <x:c r="B7" s="12" t="str">
        <x:v>No app code, app-ready JSON, or imports should be produced by these prompts.</x:v>
      </x:c>
    </x:row>
    <x:row r="8">
      <x:c r="A8" s="9" t="str">
        <x:v>Content source safety</x:v>
      </x:c>
      <x:c r="B8" s="12" t="str">
        <x:v>TELC/Beruf/Aspekte/vocabulary files are structural inspiration only; no copied item text.</x:v>
      </x:c>
    </x:row>
    <x:row r="9">
      <x:c r="A9" s="9" t="str">
        <x:v>B1-12</x:v>
      </x:c>
      <x:c r="B9" s="12" t="str">
        <x:v>B1-12 must remain deferred until B1-02 through B1-11 have stable item IDs, target IDs, reviewGroups, and evidence groups.</x:v>
      </x:c>
    </x:row>
    <x:row r="10">
      <x:c r="A10" s="9" t="str">
        <x:v>Output package basis</x:v>
      </x:c>
      <x:c r="B10" s="12" t="str">
        <x:v>Built from the full staged pipeline run and the cross-spoke audit.</x:v>
      </x:c>
    </x:row>
    <x:row r="11">
      <x:c r="A11" s="9" t="str">
        <x:v>Prompt rows</x:v>
      </x:c>
      <x:c r="B11" s="12" t="n">
        <x:v>42</x:v>
      </x:c>
    </x:row>
    <x:row r="12">
      <x:c r="A12" s="9" t="str">
        <x:v>Modules covered</x:v>
      </x:c>
      <x:c r="B12" s="12" t="str">
        <x:v>B1-02 through B1-12</x:v>
      </x:c>
    </x:row>
    <x:row r="13">
      <x:c r="A13" s="9" t="str">
        <x:v>Created</x:v>
      </x:c>
      <x:c r="B13" s="12" t="str">
        <x:v>2026-06-03 07:51</x:v>
      </x:c>
    </x:row>
    <x:row r="14">
      <x:c r="A14" s="9" t="str">
        <x:v>Next manual action</x:v>
      </x:c>
      <x:c r="B14" s="12" t="str">
        <x:v>Run Step 001 from Prompt Queue.</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120" hidden="0" customWidth="1"/>
  </x:cols>
  <x:sheetData>
    <x:row r="1">
      <x:c r="A1" s="4" t="str">
        <x:v>Copy this container prompt to run the whole queue</x:v>
      </x:c>
    </x:row>
    <x:row r="3" ht="360" customHeight="1">
      <x:c r="A3" s="12" t="str">
        <x:v>Title: Ozmosis B1-02 to B1-12 Prompt Pipeline Container
Use British English. Be direct, strict, and practical.
You are executing a queued prompt pipeline from the Excel workbook:
`ozmosis_b1_m02_m12_prompt_pipeline_control_workbook_v0_1.xlsx`
DO NOT skip ahead.
DO NOT run Codex.
DO NOT write app code.
DO NOT create app-ready JSON.
DO NOT import anything into the app.
DO NOT copy TELC/textbook/coursebook text.
DO NOT make mastery/readiness claims.
Execution rule:
1. Open the `Prompt Queue` sheet.
2. Run rows in ascending `Step` order where `Run? = YES`.
3. For each row, use the exact text in `Prompt Text`.
4. Complete the row's output before starting the next row.
5. Save each output under the filename specified in `Expected Output File`.
6. If a row returns a blocker verdict, stop immediately and report:
   - blocked step
   - blocker verdict
   - required fix
   - last completed output file
7. Do not run rows marked `WAIT`, `NO`, or `OPTIONAL`.
8. Do not create a Codex implementation prompt unless a later explicit user instruction says to do so.
Current intended sequence:
- For each module B1-02 through B1-11:
  1. QA / Reject / Revise
  2. Row Reconciliation / Final Inventory
  3. Schema Mapping
  4. Codex Import Plan
- Then update B1-12 as deferred review shell only.
- Then run the cross-module import-plan readiness audit.
Final allowed verdicts:
- ALL_MODULE_IMPORT_PLANS_READY_FOR_SEQUENTIAL_CODEX_PROMPTS
- IMPORT_PLANS_READY_WITH_MINOR_CAVEATS
- IMPORT_PLANS_NEED_REVISION
- BLOCKED_BY_ROW_INTEGRITY
- BLOCKED_BY_SCHEMA_COLLISION
- BLOCKED_BY_SOURCE_GAP
Start with Step 001.</x:v>
      </x:c>
    </x:row>
  </x:sheetData>
  <x:mergeCells>
    <x:mergeCell ref="A1:C1"/>
  </x:mergeCells>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30" hidden="0" customWidth="1"/>
    <x:col min="3" max="3" width="36" hidden="0" customWidth="1"/>
    <x:col min="4" max="4" width="30" hidden="0" customWidth="1"/>
    <x:col min="5" max="5" width="54" hidden="0" customWidth="1"/>
    <x:col min="6" max="6" width="50" hidden="0" customWidth="1"/>
    <x:col min="7" max="7" width="12" hidden="0" customWidth="1"/>
    <x:col min="8" max="8" width="14" hidden="0" customWidth="1"/>
  </x:cols>
  <x:sheetData>
    <x:row r="1">
      <x:c r="A1" s="14" t="str">
        <x:v>Module ID</x:v>
      </x:c>
      <x:c r="B1" s="14" t="str">
        <x:v>Module Title</x:v>
      </x:c>
      <x:c r="C1" s="14" t="str">
        <x:v>Internal Planning ID</x:v>
      </x:c>
      <x:c r="D1" s="14" t="str">
        <x:v>Slug</x:v>
      </x:c>
      <x:c r="E1" s="14" t="str">
        <x:v>Staged Output File</x:v>
      </x:c>
      <x:c r="F1" s="14" t="str">
        <x:v>Spoke File</x:v>
      </x:c>
      <x:c r="G1" s="14" t="str">
        <x:v>Draft Count</x:v>
      </x:c>
      <x:c r="H1" s="14" t="str">
        <x:v>Version Hint</x:v>
      </x:c>
    </x:row>
    <x:row r="2">
      <x:c r="A2" t="str">
        <x:v>B1-02</x:v>
      </x:c>
      <x:c r="B2" t="str">
        <x:v>Appointments / callbacks</x:v>
      </x:c>
      <x:c r="C2" t="str">
        <x:v>b1_m02_appointments_callbacks</x:v>
      </x:c>
      <x:c r="D2" t="str">
        <x:v>appointments-callbacks</x:v>
      </x:c>
      <x:c r="E2" t="str">
        <x:v>ozmosis_b1_m02_appointments_callbacks_full_staged_pipeline_output_v0_1.md</x:v>
      </x:c>
      <x:c r="F2" t="str">
        <x:v>ozmosis_b1_m02_appointments_callbacks_spoke_v0_1.md</x:v>
      </x:c>
      <x:c r="G2" t="n">
        <x:v>30</x:v>
      </x:c>
      <x:c r="H2" t="str">
        <x:v>v0.80.5</x:v>
      </x:c>
    </x:row>
    <x:row r="3">
      <x:c r="A3" t="str">
        <x:v>B1-03</x:v>
      </x:c>
      <x:c r="B3" t="str">
        <x:v>Job search / offices</x:v>
      </x:c>
      <x:c r="C3" t="str">
        <x:v>b1_m03_job_search_offices</x:v>
      </x:c>
      <x:c r="D3" t="str">
        <x:v>job-search-offices</x:v>
      </x:c>
      <x:c r="E3" t="str">
        <x:v>ozmosis_b1_m03_job_search_offices_full_staged_pipeline_output_v0_1.md</x:v>
      </x:c>
      <x:c r="F3" t="str">
        <x:v>ozmosis_b1_m03_job_search_offices_spoke_v0_1.md</x:v>
      </x:c>
      <x:c r="G3" t="n">
        <x:v>27</x:v>
      </x:c>
      <x:c r="H3" t="str">
        <x:v>v0.80.6</x:v>
      </x:c>
    </x:row>
    <x:row r="4">
      <x:c r="A4" t="str">
        <x:v>B1-04</x:v>
      </x:c>
      <x:c r="B4" t="str">
        <x:v>Applications</x:v>
      </x:c>
      <x:c r="C4" t="str">
        <x:v>b1_m04_applications</x:v>
      </x:c>
      <x:c r="D4" t="str">
        <x:v>applications</x:v>
      </x:c>
      <x:c r="E4" t="str">
        <x:v>ozmosis_b1_m04_applications_full_staged_pipeline_output_v0_1.md</x:v>
      </x:c>
      <x:c r="F4" t="str">
        <x:v>ozmosis_b1_m04_applications_spoke_v0_1.md</x:v>
      </x:c>
      <x:c r="G4" t="n">
        <x:v>26</x:v>
      </x:c>
      <x:c r="H4" t="str">
        <x:v>v0.80.7</x:v>
      </x:c>
    </x:row>
    <x:row r="5">
      <x:c r="A5" t="str">
        <x:v>B1-05</x:v>
      </x:c>
      <x:c r="B5" t="str">
        <x:v>First day / contract basics</x:v>
      </x:c>
      <x:c r="C5" t="str">
        <x:v>b1_m05_first_day_contract_basics</x:v>
      </x:c>
      <x:c r="D5" t="str">
        <x:v>first-day-contract-basics</x:v>
      </x:c>
      <x:c r="E5" t="str">
        <x:v>ozmosis_b1_m05_first_day_contract_basics_full_staged_pipeline_output_v0_1.md</x:v>
      </x:c>
      <x:c r="F5" t="str">
        <x:v>ozmosis_b1_m05_first_day_contract_basics_spoke_v0_1.md</x:v>
      </x:c>
      <x:c r="G5" t="n">
        <x:v>20</x:v>
      </x:c>
      <x:c r="H5" t="str">
        <x:v>v0.80.8</x:v>
      </x:c>
    </x:row>
    <x:row r="6">
      <x:c r="A6" t="str">
        <x:v>B1-06</x:v>
      </x:c>
      <x:c r="B6" t="str">
        <x:v>Sick leave</x:v>
      </x:c>
      <x:c r="C6" t="str">
        <x:v>b1_m06_sick_leave</x:v>
      </x:c>
      <x:c r="D6" t="str">
        <x:v>sick-leave</x:v>
      </x:c>
      <x:c r="E6" t="str">
        <x:v>ozmosis_b1_m06_sick_leave_full_staged_pipeline_output_v0_1.md</x:v>
      </x:c>
      <x:c r="F6" t="str">
        <x:v>ozmosis_b1_m06_sick_leave_spoke_v0_1.md</x:v>
      </x:c>
      <x:c r="G6" t="n">
        <x:v>20</x:v>
      </x:c>
      <x:c r="H6" t="str">
        <x:v>v0.80.9</x:v>
      </x:c>
    </x:row>
    <x:row r="7">
      <x:c r="A7" t="str">
        <x:v>B1-07</x:v>
      </x:c>
      <x:c r="B7" t="str">
        <x:v>Meetings / leave requests</x:v>
      </x:c>
      <x:c r="C7" t="str">
        <x:v>b1_m07_meetings_leave_requests</x:v>
      </x:c>
      <x:c r="D7" t="str">
        <x:v>meetings-leave-requests</x:v>
      </x:c>
      <x:c r="E7" t="str">
        <x:v>ozmosis_b1_m07_meetings_leave_requests_full_staged_pipeline_output_v0_1.md</x:v>
      </x:c>
      <x:c r="F7" t="str">
        <x:v>ozmosis_b1_m07_meetings_leave_requests_spoke_v0_1.md</x:v>
      </x:c>
      <x:c r="G7" t="n">
        <x:v>20</x:v>
      </x:c>
      <x:c r="H7" t="str">
        <x:v>v0.80.10</x:v>
      </x:c>
    </x:row>
    <x:row r="8">
      <x:c r="A8" t="str">
        <x:v>B1-08</x:v>
      </x:c>
      <x:c r="B8" t="str">
        <x:v>Orders / delivery</x:v>
      </x:c>
      <x:c r="C8" t="str">
        <x:v>b1_m08_orders_delivery</x:v>
      </x:c>
      <x:c r="D8" t="str">
        <x:v>orders-delivery</x:v>
      </x:c>
      <x:c r="E8" t="str">
        <x:v>ozmosis_b1_m08_orders_delivery_full_staged_pipeline_output_v0_1.md</x:v>
      </x:c>
      <x:c r="F8" t="str">
        <x:v>ozmosis_b1_m08_orders_delivery_spoke_v0_1.md</x:v>
      </x:c>
      <x:c r="G8" t="n">
        <x:v>20</x:v>
      </x:c>
      <x:c r="H8" t="str">
        <x:v>v0.80.11</x:v>
      </x:c>
    </x:row>
    <x:row r="9">
      <x:c r="A9" t="str">
        <x:v>B1-09</x:v>
      </x:c>
      <x:c r="B9" t="str">
        <x:v>Complaints / customer service</x:v>
      </x:c>
      <x:c r="C9" t="str">
        <x:v>b1_m09_complaints_customer_service</x:v>
      </x:c>
      <x:c r="D9" t="str">
        <x:v>complaints-customer-service</x:v>
      </x:c>
      <x:c r="E9" t="str">
        <x:v>ozmosis_b1_m09_complaints_customer_service_full_staged_pipeline_output_v0_1.md</x:v>
      </x:c>
      <x:c r="F9" t="str">
        <x:v>ozmosis_b1_m09_complaints_customer_service_spoke_v0_1.md</x:v>
      </x:c>
      <x:c r="G9" t="n">
        <x:v>20</x:v>
      </x:c>
      <x:c r="H9" t="str">
        <x:v>v0.80.12</x:v>
      </x:c>
    </x:row>
    <x:row r="10">
      <x:c r="A10" t="str">
        <x:v>B1-10</x:v>
      </x:c>
      <x:c r="B10" t="str">
        <x:v>Technical problems</x:v>
      </x:c>
      <x:c r="C10" t="str">
        <x:v>b1_m10_technical_problems</x:v>
      </x:c>
      <x:c r="D10" t="str">
        <x:v>technical-problems</x:v>
      </x:c>
      <x:c r="E10" t="str">
        <x:v>ozmosis_b1_m10_technical_problems_full_staged_pipeline_output_v0_1.md</x:v>
      </x:c>
      <x:c r="F10" t="str">
        <x:v>ozmosis_b1_m10_technical_problems_spoke_v0_1.md</x:v>
      </x:c>
      <x:c r="G10" t="n">
        <x:v>20</x:v>
      </x:c>
      <x:c r="H10" t="str">
        <x:v>v0.80.13</x:v>
      </x:c>
    </x:row>
    <x:row r="11">
      <x:c r="A11" t="str">
        <x:v>B1-11</x:v>
      </x:c>
      <x:c r="B11" t="str">
        <x:v>Colleague feedback / conflict</x:v>
      </x:c>
      <x:c r="C11" t="str">
        <x:v>b1_m11_colleague_feedback_conflict</x:v>
      </x:c>
      <x:c r="D11" t="str">
        <x:v>colleague-feedback-conflict</x:v>
      </x:c>
      <x:c r="E11" t="str">
        <x:v>ozmosis_b1_m11_colleague_feedback_conflict_full_staged_pipeline_output_v0_1.md</x:v>
      </x:c>
      <x:c r="F11" t="str">
        <x:v>ozmosis_b1_m11_colleague_feedback_conflict_spoke_v0_1.md</x:v>
      </x:c>
      <x:c r="G11" t="n">
        <x:v>18</x:v>
      </x:c>
      <x:c r="H11" t="str">
        <x:v>v0.80.14</x:v>
      </x:c>
    </x:row>
    <x:row r="12">
      <x:c r="A12" t="str">
        <x:v>B1-12</x:v>
      </x:c>
      <x:c r="B12" t="str">
        <x:v>B1 review / consolidation</x:v>
      </x:c>
      <x:c r="C12" t="str">
        <x:v>b1_m12_b1_review_consolidation</x:v>
      </x:c>
      <x:c r="D12" t="str">
        <x:v>b1-review-consolidation</x:v>
      </x:c>
      <x:c r="E12" t="str">
        <x:v>ozmosis_b1_m12_b1_review_consolidation_deferred_planning_layer_v0_1.md</x:v>
      </x:c>
      <x:c r="F12" t="str">
        <x:v>ozmosis_b1_m12_b1_review_consolidation_spoke_v0_1.md</x:v>
      </x:c>
      <x:c r="G12" t="n">
        <x:v>0</x:v>
      </x:c>
      <x:c r="H12" t="str">
        <x:v>deferred</x:v>
      </x:c>
    </x:row>
  </x:sheetData>
  <x:pageMargins left="0.7" right="0.7" top="0.75" bottom="0.75" header="0.3" footer="0.3"/>
  <x:tableParts count="1">
    <x:tablePart xmlns:r="http://schemas.openxmlformats.org/officeDocument/2006/relationships" r:id="R52cbd8b10c4b4e7d"/>
  </x:tableParts>
</x:worksheet>
</file>

<file path=xl/worksheets/sheet4.xml><?xml version="1.0" encoding="utf-8"?>
<x:worksheet xmlns:x="http://schemas.openxmlformats.org/spreadsheetml/2006/main">
  <x:sheetFormatPr defaultRowHeight="15"/>
  <x:cols>
    <x:col min="1" max="1" width="8" hidden="0" customWidth="1"/>
    <x:col min="2" max="2" width="10" hidden="0" customWidth="1"/>
    <x:col min="3" max="3" width="12" hidden="0" customWidth="1"/>
    <x:col min="4" max="4" width="28" hidden="0" customWidth="1"/>
    <x:col min="5" max="5" width="24" hidden="0" customWidth="1"/>
    <x:col min="6" max="6" width="30" hidden="0" customWidth="1"/>
    <x:col min="7" max="7" width="48" hidden="0" customWidth="1"/>
    <x:col min="8" max="8" width="50" hidden="0" customWidth="1"/>
    <x:col min="9" max="9" width="48" hidden="0" customWidth="1"/>
    <x:col min="10" max="10" width="100" hidden="0" customWidth="1"/>
  </x:cols>
  <x:sheetData>
    <x:row r="1">
      <x:c r="A1" s="16" t="str">
        <x:v>Step</x:v>
      </x:c>
      <x:c r="B1" s="16" t="str">
        <x:v>Run?</x:v>
      </x:c>
      <x:c r="C1" s="16" t="str">
        <x:v>Module</x:v>
      </x:c>
      <x:c r="D1" s="16" t="str">
        <x:v>Module Title</x:v>
      </x:c>
      <x:c r="E1" s="16" t="str">
        <x:v>Stage ID</x:v>
      </x:c>
      <x:c r="F1" s="16" t="str">
        <x:v>Stage</x:v>
      </x:c>
      <x:c r="G1" s="16" t="str">
        <x:v>Input File(s)</x:v>
      </x:c>
      <x:c r="H1" s="16" t="str">
        <x:v>Expected Output File</x:v>
      </x:c>
      <x:c r="I1" s="16" t="str">
        <x:v>Blocking Verdicts</x:v>
      </x:c>
      <x:c r="J1" s="16" t="str">
        <x:v>Prompt Text</x:v>
      </x:c>
    </x:row>
    <x:row r="2" ht="90" customHeight="1">
      <x:c r="A2" s="12" t="n">
        <x:v>1</x:v>
      </x:c>
      <x:c r="B2" s="12" t="str">
        <x:v>YES</x:v>
      </x:c>
      <x:c r="C2" s="12" t="str">
        <x:v>B1-02</x:v>
      </x:c>
      <x:c r="D2" s="12" t="str">
        <x:v>Appointments / callbacks</x:v>
      </x:c>
      <x:c r="E2" s="12" t="str">
        <x:v>QA_REJECT_REVISE</x:v>
      </x:c>
      <x:c r="F2" s="12" t="str">
        <x:v>QA / Reject / Revise</x:v>
      </x:c>
      <x:c r="G2" s="12" t="str">
        <x:v>ozmosis_b1_m02_appointments_callbacks_full_staged_pipeline_output_v0_1.md; ozmosis_b1_m02_appointments_callbacks_spoke_v0_1.md</x:v>
      </x:c>
      <x:c r="H2" s="12" t="str">
        <x:v>ozmosis_b1_m02_appointments_callbacks_phase3a_qa_approved_v0_1.md</x:v>
      </x:c>
      <x:c r="I2" s="12" t="str">
        <x:v>BLOCKED_BY_SOURCE_GAP; ROW_INTEGRITY_BLOCKER; BLOCKED_BY_CONTENT_SAFETY; BLOCKED_BY_SCHEMA_DECISION</x:v>
      </x:c>
      <x:c r="J2" s="12" t="str">
        <x:v>Title: Ozmosis B1-02 — Module-Specific QA / Reject / Revise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Audit, reject, revise, and approve the staged draft batch for B1-02 — Appointments / callbacks.
INPUTS
- Module full staged output: `ozmosis_b1_m02_appointments_callbacks_full_staged_pipeline_output_v0_1.md`
- Module spoke: `ozmosis_b1_m02_appointments_callbacks_spoke_v0_1.md`
- Pipeline master report: `ozmosis_b1_m02_m12_full_staged_content_pipeline_run_master_report_v0_1.md`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EXPECTED INTAKE
- moduleId: B1-02
- moduleTitle: Appointments / callbacks
- internalPlanningId: `b1_m02_appointments_callbacks`
- moduleSlug: `appointments-callbacks`
- staged draft item count from pipeline output: 30
QA PRESSURE
Check every draft item for:
- natural Hochdeutsch;
- module-scope fit;
- no drift into adjacent modules;
- single-target safety;
- accepted-answer clarity;
- cue/person alignment;
- no hidden case/article/adjective/connector target unless explicitly owned;
- evidence strength matching support level;
- production marked self-marked only;
- mobile bus-ride suitability;
- source/copyright safety.
OUTPUT STRUCTURE
1. Source Verification
2. Intake Count Check
3. Batch-Level QA Summary
4. Issue Summary
5. Item-by-Item QA Table
6. Revised Approved Item Ledger
7. Cut / Deferred / Human-Check Ledger
8. Evidence and Review Safety Ledger
9. SupportPolicy / SupportPresentation Notes
10. Cue / Translation Safety Check
11. Mobile UX Check
12. Final Clean QA Inventory
13. Row-Reconciliation Handoff Counts
14. Final QA Checklist
15. Final Verdict
DECISION LABELS
Use exactly one per item:
- approve_as_is
- revise_and_approve
- cut
- defer
- needs_human_tutor_check
FINAL VERDICT
Use exactly one:
- READY_FOR_B1_02_ROW_RECONCILIATION
- READY_FOR_B1_02_QA_REVISION
- BLOCKED_BY_SOURCE_GAP
- BLOCKED_BY_CONTENT_SAFETY
SAVE OUTPUT AS
`ozmosis_b1_m02_appointments_callbacks_phase3a_qa_approved_v0_1.md`
End with:
- final verdict
- exact next recommended action.</x:v>
      </x:c>
    </x:row>
    <x:row r="3" ht="90" customHeight="1">
      <x:c r="A3" s="12" t="n">
        <x:v>2</x:v>
      </x:c>
      <x:c r="B3" s="12" t="str">
        <x:v>YES</x:v>
      </x:c>
      <x:c r="C3" s="12" t="str">
        <x:v>B1-02</x:v>
      </x:c>
      <x:c r="D3" s="12" t="str">
        <x:v>Appointments / callbacks</x:v>
      </x:c>
      <x:c r="E3" s="12" t="str">
        <x:v>ROW_RECONCILIATION</x:v>
      </x:c>
      <x:c r="F3" s="12" t="str">
        <x:v>Row Reconciliation / Final Inventory</x:v>
      </x:c>
      <x:c r="G3" s="12" t="str">
        <x:v>ozmosis_b1_m02_appointments_callbacks_full_staged_pipeline_output_v0_1.md; ozmosis_b1_m02_appointments_callbacks_spoke_v0_1.md</x:v>
      </x:c>
      <x:c r="H3" s="12" t="str">
        <x:v>ozmosis_b1_m02_appointments_callbacks_final_inventory_v0_1.md</x:v>
      </x:c>
      <x:c r="I3" s="12" t="str">
        <x:v>BLOCKED_BY_SOURCE_GAP; ROW_INTEGRITY_BLOCKER; BLOCKED_BY_CONTENT_SAFETY; BLOCKED_BY_SCHEMA_DECISION</x:v>
      </x:c>
      <x:c r="J3" s="12" t="str">
        <x:v>Title: Ozmosis B1-02 — Row Reconciliation / Final Inventory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row reconciliation and final inventory for B1-02 — Appointments / callbacks after module-specific QA.
INPUTS
- QA-approved file: `ozmosis_b1_m02_appointments_callbacks_phase3a_qa_approved_v0_1.md`
- Original staged output: `ozmosis_b1_m02_appointments_callbacks_full_staged_pipeline_output_v0_1.md`
- Module spoke: `ozmosis_b1_m02_appointments_callbacks_spoke_v0_1.md`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RECONCILIATION RULE
expected count = actual rows + documented cuts + documented exclusions + documented deferrals + documented source discrepancies
No silent row loss.
REQUIRED CHECKS
- Draft item count from staged output: 30
- QA approved/revised count
- QA cut count
- QA deferred count
- human/tutor-check count
- notice/concept count
- production/self-marked count
- variant-family candidate count
- single retained item count
- final clean proceeding count
OUTPUT STRUCTURE
1. Source Verification
2. Executive Reconciliation Verdict
3. Intake Count Chain
4. QA Survivor Ledger
5. Cut / Deferred / Human-Check Ledger
6. Notice / Concept Card Ledger
7. Self-Marked Production Ledger
8. Variant-Family Candidate Ledger
9. Single Retained Item Ledger
10. Final Inventory Table
11. Row Discrepancy Ledger
12. Evidence Inflation Safeguards
13. Schema-Mapping Handoff
14. Final Checklist
15. Final Verdict
FINAL VERDICT
Use exactly one:
- READY_FOR_B1_02_SCHEMA_MAPPING
- READY_FOR_B1_02_INVENTORY_REVISION
- ROW_INTEGRITY_BLOCKER
- BLOCKED_BY_SOURCE_GAP
SAVE OUTPUT AS
`ozmosis_b1_m02_appointments_callbacks_final_inventory_v0_1.md`
End with:
- final verdict
- exact next recommended action.</x:v>
      </x:c>
    </x:row>
    <x:row r="4" ht="90" customHeight="1">
      <x:c r="A4" s="12" t="n">
        <x:v>3</x:v>
      </x:c>
      <x:c r="B4" s="12" t="str">
        <x:v>YES</x:v>
      </x:c>
      <x:c r="C4" s="12" t="str">
        <x:v>B1-02</x:v>
      </x:c>
      <x:c r="D4" s="12" t="str">
        <x:v>Appointments / callbacks</x:v>
      </x:c>
      <x:c r="E4" s="12" t="str">
        <x:v>SCHEMA_MAPPING</x:v>
      </x:c>
      <x:c r="F4" s="12" t="str">
        <x:v>Schema Mapping</x:v>
      </x:c>
      <x:c r="G4" s="12" t="str">
        <x:v>ozmosis_b1_m02_appointments_callbacks_full_staged_pipeline_output_v0_1.md; ozmosis_b1_m02_appointments_callbacks_spoke_v0_1.md</x:v>
      </x:c>
      <x:c r="H4" s="12" t="str">
        <x:v>ozmosis_b1_m02_appointments_callbacks_schema_mapping_v0_1.md</x:v>
      </x:c>
      <x:c r="I4" s="12" t="str">
        <x:v>BLOCKED_BY_SOURCE_GAP; ROW_INTEGRITY_BLOCKER; BLOCKED_BY_CONTENT_SAFETY; BLOCKED_BY_SCHEMA_DECISION</x:v>
      </x:c>
      <x:c r="J4" s="12" t="str">
        <x:v>Title: Ozmosis B1-02 — Schema Mapping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schema mapping for the final inventory of B1-02 — Appointments / callbacks.
INPUTS
- Final inventory: `ozmosis_b1_m02_appointments_callbacks_final_inventory_v0_1.md`
- QA-approved file: `ozmosis_b1_m02_appointments_callbacks_phase3a_qa_approved_v0_1.md`
- Module spoke: `ozmosis_b1_m02_appointments_callbacks_spoke_v0_1.md`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MODULE LOCK
Use:
- displayModuleId: B1-02
- moduleKey: b1-02
- internalPlanningId: `b1_m02_appointments_callbacks`
- moduleSlug: `appointments-callbacks`
- moduleTitle: `Appointments / callbacks`
- levelTrack: B1
- cefrTarget: B1
MAPPING REQUIREMENTS
Map all clean survivor items and variant families into schema-planning metadata.
Include:
- source item ID
- targetFamilyId
- targetId
- taskType
- taskDepth
- answerMode
- answerShape
- correctnessPolicy
- acceptedAnswerPolicy
- canonicalAnswer
- acceptedAnswers
- evidenceType
- supportPolicy
- supportPresentation
- reviewEligibilityDefault
- reviewGroup
- siblingVariantGroup if relevant
- production self-marking safeguards
- source/copyright safety note
- learner-facing allowed flag
Do not output app-ready JSON. This is schema-planning only.
OUTPUT STRUCTURE
1. Source Verification
2. Schema Mapping Intake Check
3. Mapping Assumptions
4. Target-Family Mapping Summary
5. Item Mapping Summary
6. Variant-Family Mapping, if any
7. Full Item-by-Item Metadata Mapping
8. Evidence / Review Integrity Ledger
9. SupportPolicy / SupportPresentation Ledger
10. Cue / Translation Alignment Ledger
11. Fallback / Capitalisation / Ambiguity Ledger
12. Cut / Exclusion Schema Ledger
13. Import-Planning Caveats
14. Final QA Checklist
15. Final Verdict
FINAL VERDICT
Use exactly one:
- READY_FOR_B1_02_IMPORT_PLAN
- READY_FOR_B1_02_SCHEMA_REVISION
- BLOCKED_BY_SCHEMA_DECISION
- ROW_INTEGRITY_BLOCKER
- BLOCKED_BY_SOURCE_GAP
SAVE OUTPUT AS
`ozmosis_b1_m02_appointments_callbacks_schema_mapping_v0_1.md`
End with:
- final verdict
- exact next recommended action.</x:v>
      </x:c>
    </x:row>
    <x:row r="5" ht="90" customHeight="1">
      <x:c r="A5" s="12" t="n">
        <x:v>4</x:v>
      </x:c>
      <x:c r="B5" s="12" t="str">
        <x:v>YES</x:v>
      </x:c>
      <x:c r="C5" s="12" t="str">
        <x:v>B1-02</x:v>
      </x:c>
      <x:c r="D5" s="12" t="str">
        <x:v>Appointments / callbacks</x:v>
      </x:c>
      <x:c r="E5" s="12" t="str">
        <x:v>CODEX_IMPORT_PLAN</x:v>
      </x:c>
      <x:c r="F5" s="12" t="str">
        <x:v>Codex Import Plan</x:v>
      </x:c>
      <x:c r="G5" s="12" t="str">
        <x:v>ozmosis_b1_m02_appointments_callbacks_full_staged_pipeline_output_v0_1.md; ozmosis_b1_m02_appointments_callbacks_spoke_v0_1.md</x:v>
      </x:c>
      <x:c r="H5" s="12" t="str">
        <x:v>ozmosis_b1_m02_appointments_callbacks_codex_import_plan_v0_1.md</x:v>
      </x:c>
      <x:c r="I5" s="12" t="str">
        <x:v>BLOCKED_BY_SOURCE_GAP; ROW_INTEGRITY_BLOCKER; BLOCKED_BY_CONTENT_SAFETY; BLOCKED_BY_SCHEMA_DECISION</x:v>
      </x:c>
      <x:c r="J5" s="12" t="str">
        <x:v>Title: Ozmosis B1-02 — Codex Import Plan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Codex import plan for adding B1-02 — Appointments / callbacks to the Ozmosis app line.
This is import planning only.
Do not write the Codex implementation prompt yet.
INPUTS
- Schema mapping: `ozmosis_b1_m02_appointments_callbacks_schema_mapping_v0_1.md`
- Final inventory: `ozmosis_b1_m02_appointments_callbacks_final_inventory_v0_1.md`
- QA-approved file: `ozmosis_b1_m02_appointments_callbacks_phase3a_qa_approved_v0_1.md`
- Module staged output: `ozmosis_b1_m02_appointments_callbacks_full_staged_pipeline_output_v0_1.md`
- Current app package/source brief/roadmap.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VERSION DECISION
Recommend a version label. Starting suggestion for sequential module import:
`v0.80.5 — B1-02 Appointments / callbacks`
Do not call this v0.81 unless explicitly instructed. v0.81 remains separate unless the user supersedes that roadmap.
IMPORT-PLAN REQUIREMENTS
Tell Codex exactly:
- what app files to inspect before editing;
- where module content likely lives;
- how to preserve static-app architecture;
- how to preserve localStorage/export/import;
- how to register the module route/content safely;
- whether the module enters Today’s Sprint or Diagnostic Sprint immediately;
- what counts to validate;
- what records must be imported/excluded;
- what tests to run;
- what docs/changelog to create.
ARCHITECTURE RULES
No backend, no framework, no build step, no runtime generation, no dependencies, no storage-key renaming, no app redesign.
OUTPUT STRUCTURE
1. Source Verification
2. Executive Import Plan Verdict
3. Version Recommendation
4. Current App Architecture Assumptions To Verify
5. Import Strategy Decision
6. Import Scope
7. Content Records To Import
8. Records To Exclude
9. Mapping Decisions For Codex
10. Data Shape Requirements
11. Evidence / Review Safety Requirements
12. Route / Sampling Plan
13. Test Plan For Implementation Prompt
14. Documentation / Changelog Plan
15. Implementation Prompt Readiness Checklist
16. Final Verdict
FINAL VERDICT
Use exactly one:
- READY_FOR_B1_02_CODEX_IMPLEMENTATION_PROMPT
- IMPORT_PLAN_READY_WITH_DECISIONS
- IMPORT_PLAN_NEEDS_REVISION
- BLOCKED_BY_SOURCE_GAP
SAVE OUTPUT AS
`ozmosis_b1_m02_appointments_callbacks_codex_import_plan_v0_1.md`
End with:
- final verdict
- exact next recommended action.</x:v>
      </x:c>
    </x:row>
    <x:row r="6" ht="90" customHeight="1">
      <x:c r="A6" s="12" t="n">
        <x:v>5</x:v>
      </x:c>
      <x:c r="B6" s="12" t="str">
        <x:v>YES</x:v>
      </x:c>
      <x:c r="C6" s="12" t="str">
        <x:v>B1-03</x:v>
      </x:c>
      <x:c r="D6" s="12" t="str">
        <x:v>Job search / offices</x:v>
      </x:c>
      <x:c r="E6" s="12" t="str">
        <x:v>QA_REJECT_REVISE</x:v>
      </x:c>
      <x:c r="F6" s="12" t="str">
        <x:v>QA / Reject / Revise</x:v>
      </x:c>
      <x:c r="G6" s="12" t="str">
        <x:v>ozmosis_b1_m03_job_search_offices_full_staged_pipeline_output_v0_1.md; ozmosis_b1_m03_job_search_offices_spoke_v0_1.md</x:v>
      </x:c>
      <x:c r="H6" s="12" t="str">
        <x:v>ozmosis_b1_m03_job_search_offices_phase3a_qa_approved_v0_1.md</x:v>
      </x:c>
      <x:c r="I6" s="12" t="str">
        <x:v>BLOCKED_BY_SOURCE_GAP; ROW_INTEGRITY_BLOCKER; BLOCKED_BY_CONTENT_SAFETY; BLOCKED_BY_SCHEMA_DECISION</x:v>
      </x:c>
      <x:c r="J6" s="12" t="str">
        <x:v>Title: Ozmosis B1-03 — Module-Specific QA / Reject / Revise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Audit, reject, revise, and approve the staged draft batch for B1-03 — Job search / offices.
INPUTS
- Module full staged output: `ozmosis_b1_m03_job_search_offices_full_staged_pipeline_output_v0_1.md`
- Module spoke: `ozmosis_b1_m03_job_search_offices_spoke_v0_1.md`
- Pipeline master report: `ozmosis_b1_m02_m12_full_staged_content_pipeline_run_master_report_v0_1.md`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EXPECTED INTAKE
- moduleId: B1-03
- moduleTitle: Job search / offices
- internalPlanningId: `b1_m03_job_search_offices`
- moduleSlug: `job-search-offices`
- staged draft item count from pipeline output: 27
QA PRESSURE
Check every draft item for:
- natural Hochdeutsch;
- module-scope fit;
- no drift into adjacent modules;
- single-target safety;
- accepted-answer clarity;
- cue/person alignment;
- no hidden case/article/adjective/connector target unless explicitly owned;
- evidence strength matching support level;
- production marked self-marked only;
- mobile bus-ride suitability;
- source/copyright safety.
OUTPUT STRUCTURE
1. Source Verification
2. Intake Count Check
3. Batch-Level QA Summary
4. Issue Summary
5. Item-by-Item QA Table
6. Revised Approved Item Ledger
7. Cut / Deferred / Human-Check Ledger
8. Evidence and Review Safety Ledger
9. SupportPolicy / SupportPresentation Notes
10. Cue / Translation Safety Check
11. Mobile UX Check
12. Final Clean QA Inventory
13. Row-Reconciliation Handoff Counts
14. Final QA Checklist
15. Final Verdict
DECISION LABELS
Use exactly one per item:
- approve_as_is
- revise_and_approve
- cut
- defer
- needs_human_tutor_check
FINAL VERDICT
Use exactly one:
- READY_FOR_B1_03_ROW_RECONCILIATION
- READY_FOR_B1_03_QA_REVISION
- BLOCKED_BY_SOURCE_GAP
- BLOCKED_BY_CONTENT_SAFETY
SAVE OUTPUT AS
`ozmosis_b1_m03_job_search_offices_phase3a_qa_approved_v0_1.md`
End with:
- final verdict
- exact next recommended action.</x:v>
      </x:c>
    </x:row>
    <x:row r="7" ht="90" customHeight="1">
      <x:c r="A7" s="12" t="n">
        <x:v>6</x:v>
      </x:c>
      <x:c r="B7" s="12" t="str">
        <x:v>YES</x:v>
      </x:c>
      <x:c r="C7" s="12" t="str">
        <x:v>B1-03</x:v>
      </x:c>
      <x:c r="D7" s="12" t="str">
        <x:v>Job search / offices</x:v>
      </x:c>
      <x:c r="E7" s="12" t="str">
        <x:v>ROW_RECONCILIATION</x:v>
      </x:c>
      <x:c r="F7" s="12" t="str">
        <x:v>Row Reconciliation / Final Inventory</x:v>
      </x:c>
      <x:c r="G7" s="12" t="str">
        <x:v>ozmosis_b1_m03_job_search_offices_full_staged_pipeline_output_v0_1.md; ozmosis_b1_m03_job_search_offices_spoke_v0_1.md</x:v>
      </x:c>
      <x:c r="H7" s="12" t="str">
        <x:v>ozmosis_b1_m03_job_search_offices_final_inventory_v0_1.md</x:v>
      </x:c>
      <x:c r="I7" s="12" t="str">
        <x:v>BLOCKED_BY_SOURCE_GAP; ROW_INTEGRITY_BLOCKER; BLOCKED_BY_CONTENT_SAFETY; BLOCKED_BY_SCHEMA_DECISION</x:v>
      </x:c>
      <x:c r="J7" s="12" t="str">
        <x:v>Title: Ozmosis B1-03 — Row Reconciliation / Final Inventory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row reconciliation and final inventory for B1-03 — Job search / offices after module-specific QA.
INPUTS
- QA-approved file: `ozmosis_b1_m03_job_search_offices_phase3a_qa_approved_v0_1.md`
- Original staged output: `ozmosis_b1_m03_job_search_offices_full_staged_pipeline_output_v0_1.md`
- Module spoke: `ozmosis_b1_m03_job_search_offices_spoke_v0_1.md`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RECONCILIATION RULE
expected count = actual rows + documented cuts + documented exclusions + documented deferrals + documented source discrepancies
No silent row loss.
REQUIRED CHECKS
- Draft item count from staged output: 27
- QA approved/revised count
- QA cut count
- QA deferred count
- human/tutor-check count
- notice/concept count
- production/self-marked count
- variant-family candidate count
- single retained item count
- final clean proceeding count
OUTPUT STRUCTURE
1. Source Verification
2. Executive Reconciliation Verdict
3. Intake Count Chain
4. QA Survivor Ledger
5. Cut / Deferred / Human-Check Ledger
6. Notice / Concept Card Ledger
7. Self-Marked Production Ledger
8. Variant-Family Candidate Ledger
9. Single Retained Item Ledger
10. Final Inventory Table
11. Row Discrepancy Ledger
12. Evidence Inflation Safeguards
13. Schema-Mapping Handoff
14. Final Checklist
15. Final Verdict
FINAL VERDICT
Use exactly one:
- READY_FOR_B1_03_SCHEMA_MAPPING
- READY_FOR_B1_03_INVENTORY_REVISION
- ROW_INTEGRITY_BLOCKER
- BLOCKED_BY_SOURCE_GAP
SAVE OUTPUT AS
`ozmosis_b1_m03_job_search_offices_final_inventory_v0_1.md`
End with:
- final verdict
- exact next recommended action.</x:v>
      </x:c>
    </x:row>
    <x:row r="8" ht="90" customHeight="1">
      <x:c r="A8" s="12" t="n">
        <x:v>7</x:v>
      </x:c>
      <x:c r="B8" s="12" t="str">
        <x:v>YES</x:v>
      </x:c>
      <x:c r="C8" s="12" t="str">
        <x:v>B1-03</x:v>
      </x:c>
      <x:c r="D8" s="12" t="str">
        <x:v>Job search / offices</x:v>
      </x:c>
      <x:c r="E8" s="12" t="str">
        <x:v>SCHEMA_MAPPING</x:v>
      </x:c>
      <x:c r="F8" s="12" t="str">
        <x:v>Schema Mapping</x:v>
      </x:c>
      <x:c r="G8" s="12" t="str">
        <x:v>ozmosis_b1_m03_job_search_offices_full_staged_pipeline_output_v0_1.md; ozmosis_b1_m03_job_search_offices_spoke_v0_1.md</x:v>
      </x:c>
      <x:c r="H8" s="12" t="str">
        <x:v>ozmosis_b1_m03_job_search_offices_schema_mapping_v0_1.md</x:v>
      </x:c>
      <x:c r="I8" s="12" t="str">
        <x:v>BLOCKED_BY_SOURCE_GAP; ROW_INTEGRITY_BLOCKER; BLOCKED_BY_CONTENT_SAFETY; BLOCKED_BY_SCHEMA_DECISION</x:v>
      </x:c>
      <x:c r="J8" s="12" t="str">
        <x:v>Title: Ozmosis B1-03 — Schema Mapping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schema mapping for the final inventory of B1-03 — Job search / offices.
INPUTS
- Final inventory: `ozmosis_b1_m03_job_search_offices_final_inventory_v0_1.md`
- QA-approved file: `ozmosis_b1_m03_job_search_offices_phase3a_qa_approved_v0_1.md`
- Module spoke: `ozmosis_b1_m03_job_search_offices_spoke_v0_1.md`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MODULE LOCK
Use:
- displayModuleId: B1-03
- moduleKey: b1-03
- internalPlanningId: `b1_m03_job_search_offices`
- moduleSlug: `job-search-offices`
- moduleTitle: `Job search / offices`
- levelTrack: B1
- cefrTarget: B1
MAPPING REQUIREMENTS
Map all clean survivor items and variant families into schema-planning metadata.
Include:
- source item ID
- targetFamilyId
- targetId
- taskType
- taskDepth
- answerMode
- answerShape
- correctnessPolicy
- acceptedAnswerPolicy
- canonicalAnswer
- acceptedAnswers
- evidenceType
- supportPolicy
- supportPresentation
- reviewEligibilityDefault
- reviewGroup
- siblingVariantGroup if relevant
- production self-marking safeguards
- source/copyright safety note
- learner-facing allowed flag
Do not output app-ready JSON. This is schema-planning only.
OUTPUT STRUCTURE
1. Source Verification
2. Schema Mapping Intake Check
3. Mapping Assumptions
4. Target-Family Mapping Summary
5. Item Mapping Summary
6. Variant-Family Mapping, if any
7. Full Item-by-Item Metadata Mapping
8. Evidence / Review Integrity Ledger
9. SupportPolicy / SupportPresentation Ledger
10. Cue / Translation Alignment Ledger
11. Fallback / Capitalisation / Ambiguity Ledger
12. Cut / Exclusion Schema Ledger
13. Import-Planning Caveats
14. Final QA Checklist
15. Final Verdict
FINAL VERDICT
Use exactly one:
- READY_FOR_B1_03_IMPORT_PLAN
- READY_FOR_B1_03_SCHEMA_REVISION
- BLOCKED_BY_SCHEMA_DECISION
- ROW_INTEGRITY_BLOCKER
- BLOCKED_BY_SOURCE_GAP
SAVE OUTPUT AS
`ozmosis_b1_m03_job_search_offices_schema_mapping_v0_1.md`
End with:
- final verdict
- exact next recommended action.</x:v>
      </x:c>
    </x:row>
    <x:row r="9" ht="90" customHeight="1">
      <x:c r="A9" s="12" t="n">
        <x:v>8</x:v>
      </x:c>
      <x:c r="B9" s="12" t="str">
        <x:v>YES</x:v>
      </x:c>
      <x:c r="C9" s="12" t="str">
        <x:v>B1-03</x:v>
      </x:c>
      <x:c r="D9" s="12" t="str">
        <x:v>Job search / offices</x:v>
      </x:c>
      <x:c r="E9" s="12" t="str">
        <x:v>CODEX_IMPORT_PLAN</x:v>
      </x:c>
      <x:c r="F9" s="12" t="str">
        <x:v>Codex Import Plan</x:v>
      </x:c>
      <x:c r="G9" s="12" t="str">
        <x:v>ozmosis_b1_m03_job_search_offices_full_staged_pipeline_output_v0_1.md; ozmosis_b1_m03_job_search_offices_spoke_v0_1.md</x:v>
      </x:c>
      <x:c r="H9" s="12" t="str">
        <x:v>ozmosis_b1_m03_job_search_offices_codex_import_plan_v0_1.md</x:v>
      </x:c>
      <x:c r="I9" s="12" t="str">
        <x:v>BLOCKED_BY_SOURCE_GAP; ROW_INTEGRITY_BLOCKER; BLOCKED_BY_CONTENT_SAFETY; BLOCKED_BY_SCHEMA_DECISION</x:v>
      </x:c>
      <x:c r="J9" s="12" t="str">
        <x:v>Title: Ozmosis B1-03 — Codex Import Plan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Codex import plan for adding B1-03 — Job search / offices to the Ozmosis app line.
This is import planning only.
Do not write the Codex implementation prompt yet.
INPUTS
- Schema mapping: `ozmosis_b1_m03_job_search_offices_schema_mapping_v0_1.md`
- Final inventory: `ozmosis_b1_m03_job_search_offices_final_inventory_v0_1.md`
- QA-approved file: `ozmosis_b1_m03_job_search_offices_phase3a_qa_approved_v0_1.md`
- Module staged output: `ozmosis_b1_m03_job_search_offices_full_staged_pipeline_output_v0_1.md`
- Current app package/source brief/roadmap.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VERSION DECISION
Recommend a version label. Starting suggestion for sequential module import:
`v0.80.6 — B1-03 Job search / offices`
Do not call this v0.81 unless explicitly instructed. v0.81 remains separate unless the user supersedes that roadmap.
IMPORT-PLAN REQUIREMENTS
Tell Codex exactly:
- what app files to inspect before editing;
- where module content likely lives;
- how to preserve static-app architecture;
- how to preserve localStorage/export/import;
- how to register the module route/content safely;
- whether the module enters Today’s Sprint or Diagnostic Sprint immediately;
- what counts to validate;
- what records must be imported/excluded;
- what tests to run;
- what docs/changelog to create.
ARCHITECTURE RULES
No backend, no framework, no build step, no runtime generation, no dependencies, no storage-key renaming, no app redesign.
OUTPUT STRUCTURE
1. Source Verification
2. Executive Import Plan Verdict
3. Version Recommendation
4. Current App Architecture Assumptions To Verify
5. Import Strategy Decision
6. Import Scope
7. Content Records To Import
8. Records To Exclude
9. Mapping Decisions For Codex
10. Data Shape Requirements
11. Evidence / Review Safety Requirements
12. Route / Sampling Plan
13. Test Plan For Implementation Prompt
14. Documentation / Changelog Plan
15. Implementation Prompt Readiness Checklist
16. Final Verdict
FINAL VERDICT
Use exactly one:
- READY_FOR_B1_03_CODEX_IMPLEMENTATION_PROMPT
- IMPORT_PLAN_READY_WITH_DECISIONS
- IMPORT_PLAN_NEEDS_REVISION
- BLOCKED_BY_SOURCE_GAP
SAVE OUTPUT AS
`ozmosis_b1_m03_job_search_offices_codex_import_plan_v0_1.md`
End with:
- final verdict
- exact next recommended action.</x:v>
      </x:c>
    </x:row>
    <x:row r="10" ht="90" customHeight="1">
      <x:c r="A10" s="12" t="n">
        <x:v>9</x:v>
      </x:c>
      <x:c r="B10" s="12" t="str">
        <x:v>YES</x:v>
      </x:c>
      <x:c r="C10" s="12" t="str">
        <x:v>B1-04</x:v>
      </x:c>
      <x:c r="D10" s="12" t="str">
        <x:v>Applications</x:v>
      </x:c>
      <x:c r="E10" s="12" t="str">
        <x:v>QA_REJECT_REVISE</x:v>
      </x:c>
      <x:c r="F10" s="12" t="str">
        <x:v>QA / Reject / Revise</x:v>
      </x:c>
      <x:c r="G10" s="12" t="str">
        <x:v>ozmosis_b1_m04_applications_full_staged_pipeline_output_v0_1.md; ozmosis_b1_m04_applications_spoke_v0_1.md</x:v>
      </x:c>
      <x:c r="H10" s="12" t="str">
        <x:v>ozmosis_b1_m04_applications_phase3a_qa_approved_v0_1.md</x:v>
      </x:c>
      <x:c r="I10" s="12" t="str">
        <x:v>BLOCKED_BY_SOURCE_GAP; ROW_INTEGRITY_BLOCKER; BLOCKED_BY_CONTENT_SAFETY; BLOCKED_BY_SCHEMA_DECISION</x:v>
      </x:c>
      <x:c r="J10" s="12" t="str">
        <x:v>Title: Ozmosis B1-04 — Module-Specific QA / Reject / Revise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Audit, reject, revise, and approve the staged draft batch for B1-04 — Applications.
INPUTS
- Module full staged output: `ozmosis_b1_m04_applications_full_staged_pipeline_output_v0_1.md`
- Module spoke: `ozmosis_b1_m04_applications_spoke_v0_1.md`
- Pipeline master report: `ozmosis_b1_m02_m12_full_staged_content_pipeline_run_master_report_v0_1.md`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EXPECTED INTAKE
- moduleId: B1-04
- moduleTitle: Applications
- internalPlanningId: `b1_m04_applications`
- moduleSlug: `applications`
- staged draft item count from pipeline output: 26
QA PRESSURE
Check every draft item for:
- natural Hochdeutsch;
- module-scope fit;
- no drift into adjacent modules;
- single-target safety;
- accepted-answer clarity;
- cue/person alignment;
- no hidden case/article/adjective/connector target unless explicitly owned;
- evidence strength matching support level;
- production marked self-marked only;
- mobile bus-ride suitability;
- source/copyright safety.
OUTPUT STRUCTURE
1. Source Verification
2. Intake Count Check
3. Batch-Level QA Summary
4. Issue Summary
5. Item-by-Item QA Table
6. Revised Approved Item Ledger
7. Cut / Deferred / Human-Check Ledger
8. Evidence and Review Safety Ledger
9. SupportPolicy / SupportPresentation Notes
10. Cue / Translation Safety Check
11. Mobile UX Check
12. Final Clean QA Inventory
13. Row-Reconciliation Handoff Counts
14. Final QA Checklist
15. Final Verdict
DECISION LABELS
Use exactly one per item:
- approve_as_is
- revise_and_approve
- cut
- defer
- needs_human_tutor_check
FINAL VERDICT
Use exactly one:
- READY_FOR_B1_04_ROW_RECONCILIATION
- READY_FOR_B1_04_QA_REVISION
- BLOCKED_BY_SOURCE_GAP
- BLOCKED_BY_CONTENT_SAFETY
SAVE OUTPUT AS
`ozmosis_b1_m04_applications_phase3a_qa_approved_v0_1.md`
End with:
- final verdict
- exact next recommended action.</x:v>
      </x:c>
    </x:row>
    <x:row r="11" ht="90" customHeight="1">
      <x:c r="A11" s="12" t="n">
        <x:v>10</x:v>
      </x:c>
      <x:c r="B11" s="12" t="str">
        <x:v>YES</x:v>
      </x:c>
      <x:c r="C11" s="12" t="str">
        <x:v>B1-04</x:v>
      </x:c>
      <x:c r="D11" s="12" t="str">
        <x:v>Applications</x:v>
      </x:c>
      <x:c r="E11" s="12" t="str">
        <x:v>ROW_RECONCILIATION</x:v>
      </x:c>
      <x:c r="F11" s="12" t="str">
        <x:v>Row Reconciliation / Final Inventory</x:v>
      </x:c>
      <x:c r="G11" s="12" t="str">
        <x:v>ozmosis_b1_m04_applications_full_staged_pipeline_output_v0_1.md; ozmosis_b1_m04_applications_spoke_v0_1.md</x:v>
      </x:c>
      <x:c r="H11" s="12" t="str">
        <x:v>ozmosis_b1_m04_applications_final_inventory_v0_1.md</x:v>
      </x:c>
      <x:c r="I11" s="12" t="str">
        <x:v>BLOCKED_BY_SOURCE_GAP; ROW_INTEGRITY_BLOCKER; BLOCKED_BY_CONTENT_SAFETY; BLOCKED_BY_SCHEMA_DECISION</x:v>
      </x:c>
      <x:c r="J11" s="12" t="str">
        <x:v>Title: Ozmosis B1-04 — Row Reconciliation / Final Inventory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row reconciliation and final inventory for B1-04 — Applications after module-specific QA.
INPUTS
- QA-approved file: `ozmosis_b1_m04_applications_phase3a_qa_approved_v0_1.md`
- Original staged output: `ozmosis_b1_m04_applications_full_staged_pipeline_output_v0_1.md`
- Module spoke: `ozmosis_b1_m04_applications_spoke_v0_1.md`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RECONCILIATION RULE
expected count = actual rows + documented cuts + documented exclusions + documented deferrals + documented source discrepancies
No silent row loss.
REQUIRED CHECKS
- Draft item count from staged output: 26
- QA approved/revised count
- QA cut count
- QA deferred count
- human/tutor-check count
- notice/concept count
- production/self-marked count
- variant-family candidate count
- single retained item count
- final clean proceeding count
OUTPUT STRUCTURE
1. Source Verification
2. Executive Reconciliation Verdict
3. Intake Count Chain
4. QA Survivor Ledger
5. Cut / Deferred / Human-Check Ledger
6. Notice / Concept Card Ledger
7. Self-Marked Production Ledger
8. Variant-Family Candidate Ledger
9. Single Retained Item Ledger
10. Final Inventory Table
11. Row Discrepancy Ledger
12. Evidence Inflation Safeguards
13. Schema-Mapping Handoff
14. Final Checklist
15. Final Verdict
FINAL VERDICT
Use exactly one:
- READY_FOR_B1_04_SCHEMA_MAPPING
- READY_FOR_B1_04_INVENTORY_REVISION
- ROW_INTEGRITY_BLOCKER
- BLOCKED_BY_SOURCE_GAP
SAVE OUTPUT AS
`ozmosis_b1_m04_applications_final_inventory_v0_1.md`
End with:
- final verdict
- exact next recommended action.</x:v>
      </x:c>
    </x:row>
    <x:row r="12" ht="90" customHeight="1">
      <x:c r="A12" s="12" t="n">
        <x:v>11</x:v>
      </x:c>
      <x:c r="B12" s="12" t="str">
        <x:v>YES</x:v>
      </x:c>
      <x:c r="C12" s="12" t="str">
        <x:v>B1-04</x:v>
      </x:c>
      <x:c r="D12" s="12" t="str">
        <x:v>Applications</x:v>
      </x:c>
      <x:c r="E12" s="12" t="str">
        <x:v>SCHEMA_MAPPING</x:v>
      </x:c>
      <x:c r="F12" s="12" t="str">
        <x:v>Schema Mapping</x:v>
      </x:c>
      <x:c r="G12" s="12" t="str">
        <x:v>ozmosis_b1_m04_applications_full_staged_pipeline_output_v0_1.md; ozmosis_b1_m04_applications_spoke_v0_1.md</x:v>
      </x:c>
      <x:c r="H12" s="12" t="str">
        <x:v>ozmosis_b1_m04_applications_schema_mapping_v0_1.md</x:v>
      </x:c>
      <x:c r="I12" s="12" t="str">
        <x:v>BLOCKED_BY_SOURCE_GAP; ROW_INTEGRITY_BLOCKER; BLOCKED_BY_CONTENT_SAFETY; BLOCKED_BY_SCHEMA_DECISION</x:v>
      </x:c>
      <x:c r="J12" s="12" t="str">
        <x:v>Title: Ozmosis B1-04 — Schema Mapping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schema mapping for the final inventory of B1-04 — Applications.
INPUTS
- Final inventory: `ozmosis_b1_m04_applications_final_inventory_v0_1.md`
- QA-approved file: `ozmosis_b1_m04_applications_phase3a_qa_approved_v0_1.md`
- Module spoke: `ozmosis_b1_m04_applications_spoke_v0_1.md`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MODULE LOCK
Use:
- displayModuleId: B1-04
- moduleKey: b1-04
- internalPlanningId: `b1_m04_applications`
- moduleSlug: `applications`
- moduleTitle: `Applications`
- levelTrack: B1
- cefrTarget: B1
MAPPING REQUIREMENTS
Map all clean survivor items and variant families into schema-planning metadata.
Include:
- source item ID
- targetFamilyId
- targetId
- taskType
- taskDepth
- answerMode
- answerShape
- correctnessPolicy
- acceptedAnswerPolicy
- canonicalAnswer
- acceptedAnswers
- evidenceType
- supportPolicy
- supportPresentation
- reviewEligibilityDefault
- reviewGroup
- siblingVariantGroup if relevant
- production self-marking safeguards
- source/copyright safety note
- learner-facing allowed flag
Do not output app-ready JSON. This is schema-planning only.
OUTPUT STRUCTURE
1. Source Verification
2. Schema Mapping Intake Check
3. Mapping Assumptions
4. Target-Family Mapping Summary
5. Item Mapping Summary
6. Variant-Family Mapping, if any
7. Full Item-by-Item Metadata Mapping
8. Evidence / Review Integrity Ledger
9. SupportPolicy / SupportPresentation Ledger
10. Cue / Translation Alignment Ledger
11. Fallback / Capitalisation / Ambiguity Ledger
12. Cut / Exclusion Schema Ledger
13. Import-Planning Caveats
14. Final QA Checklist
15. Final Verdict
FINAL VERDICT
Use exactly one:
- READY_FOR_B1_04_IMPORT_PLAN
- READY_FOR_B1_04_SCHEMA_REVISION
- BLOCKED_BY_SCHEMA_DECISION
- ROW_INTEGRITY_BLOCKER
- BLOCKED_BY_SOURCE_GAP
SAVE OUTPUT AS
`ozmosis_b1_m04_applications_schema_mapping_v0_1.md`
End with:
- final verdict
- exact next recommended action.</x:v>
      </x:c>
    </x:row>
    <x:row r="13" ht="90" customHeight="1">
      <x:c r="A13" s="12" t="n">
        <x:v>12</x:v>
      </x:c>
      <x:c r="B13" s="12" t="str">
        <x:v>YES</x:v>
      </x:c>
      <x:c r="C13" s="12" t="str">
        <x:v>B1-04</x:v>
      </x:c>
      <x:c r="D13" s="12" t="str">
        <x:v>Applications</x:v>
      </x:c>
      <x:c r="E13" s="12" t="str">
        <x:v>CODEX_IMPORT_PLAN</x:v>
      </x:c>
      <x:c r="F13" s="12" t="str">
        <x:v>Codex Import Plan</x:v>
      </x:c>
      <x:c r="G13" s="12" t="str">
        <x:v>ozmosis_b1_m04_applications_full_staged_pipeline_output_v0_1.md; ozmosis_b1_m04_applications_spoke_v0_1.md</x:v>
      </x:c>
      <x:c r="H13" s="12" t="str">
        <x:v>ozmosis_b1_m04_applications_codex_import_plan_v0_1.md</x:v>
      </x:c>
      <x:c r="I13" s="12" t="str">
        <x:v>BLOCKED_BY_SOURCE_GAP; ROW_INTEGRITY_BLOCKER; BLOCKED_BY_CONTENT_SAFETY; BLOCKED_BY_SCHEMA_DECISION</x:v>
      </x:c>
      <x:c r="J13" s="12" t="str">
        <x:v>Title: Ozmosis B1-04 — Codex Import Plan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Codex import plan for adding B1-04 — Applications to the Ozmosis app line.
This is import planning only.
Do not write the Codex implementation prompt yet.
INPUTS
- Schema mapping: `ozmosis_b1_m04_applications_schema_mapping_v0_1.md`
- Final inventory: `ozmosis_b1_m04_applications_final_inventory_v0_1.md`
- QA-approved file: `ozmosis_b1_m04_applications_phase3a_qa_approved_v0_1.md`
- Module staged output: `ozmosis_b1_m04_applications_full_staged_pipeline_output_v0_1.md`
- Current app package/source brief/roadmap.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VERSION DECISION
Recommend a version label. Starting suggestion for sequential module import:
`v0.80.7 — B1-04 Applications`
Do not call this v0.81 unless explicitly instructed. v0.81 remains separate unless the user supersedes that roadmap.
IMPORT-PLAN REQUIREMENTS
Tell Codex exactly:
- what app files to inspect before editing;
- where module content likely lives;
- how to preserve static-app architecture;
- how to preserve localStorage/export/import;
- how to register the module route/content safely;
- whether the module enters Today’s Sprint or Diagnostic Sprint immediately;
- what counts to validate;
- what records must be imported/excluded;
- what tests to run;
- what docs/changelog to create.
ARCHITECTURE RULES
No backend, no framework, no build step, no runtime generation, no dependencies, no storage-key renaming, no app redesign.
OUTPUT STRUCTURE
1. Source Verification
2. Executive Import Plan Verdict
3. Version Recommendation
4. Current App Architecture Assumptions To Verify
5. Import Strategy Decision
6. Import Scope
7. Content Records To Import
8. Records To Exclude
9. Mapping Decisions For Codex
10. Data Shape Requirements
11. Evidence / Review Safety Requirements
12. Route / Sampling Plan
13. Test Plan For Implementation Prompt
14. Documentation / Changelog Plan
15. Implementation Prompt Readiness Checklist
16. Final Verdict
FINAL VERDICT
Use exactly one:
- READY_FOR_B1_04_CODEX_IMPLEMENTATION_PROMPT
- IMPORT_PLAN_READY_WITH_DECISIONS
- IMPORT_PLAN_NEEDS_REVISION
- BLOCKED_BY_SOURCE_GAP
SAVE OUTPUT AS
`ozmosis_b1_m04_applications_codex_import_plan_v0_1.md`
End with:
- final verdict
- exact next recommended action.</x:v>
      </x:c>
    </x:row>
    <x:row r="14" ht="90" customHeight="1">
      <x:c r="A14" s="12" t="n">
        <x:v>13</x:v>
      </x:c>
      <x:c r="B14" s="12" t="str">
        <x:v>YES</x:v>
      </x:c>
      <x:c r="C14" s="12" t="str">
        <x:v>B1-05</x:v>
      </x:c>
      <x:c r="D14" s="12" t="str">
        <x:v>First day / contract basics</x:v>
      </x:c>
      <x:c r="E14" s="12" t="str">
        <x:v>QA_REJECT_REVISE</x:v>
      </x:c>
      <x:c r="F14" s="12" t="str">
        <x:v>QA / Reject / Revise</x:v>
      </x:c>
      <x:c r="G14" s="12" t="str">
        <x:v>ozmosis_b1_m05_first_day_contract_basics_full_staged_pipeline_output_v0_1.md; ozmosis_b1_m05_first_day_contract_basics_spoke_v0_1.md</x:v>
      </x:c>
      <x:c r="H14" s="12" t="str">
        <x:v>ozmosis_b1_m05_first_day_contract_basics_phase3a_qa_approved_v0_1.md</x:v>
      </x:c>
      <x:c r="I14" s="12" t="str">
        <x:v>BLOCKED_BY_SOURCE_GAP; ROW_INTEGRITY_BLOCKER; BLOCKED_BY_CONTENT_SAFETY; BLOCKED_BY_SCHEMA_DECISION</x:v>
      </x:c>
      <x:c r="J14" s="12" t="str">
        <x:v>Title: Ozmosis B1-05 — Module-Specific QA / Reject / Revise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Audit, reject, revise, and approve the staged draft batch for B1-05 — First day / contract basics.
INPUTS
- Module full staged output: `ozmosis_b1_m05_first_day_contract_basics_full_staged_pipeline_output_v0_1.md`
- Module spoke: `ozmosis_b1_m05_first_day_contract_basics_spoke_v0_1.md`
- Pipeline master report: `ozmosis_b1_m02_m12_full_staged_content_pipeline_run_master_report_v0_1.md`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EXPECTED INTAKE
- moduleId: B1-05
- moduleTitle: First day / contract basics
- internalPlanningId: `b1_m05_first_day_contract_basics`
- moduleSlug: `first-day-contract-basics`
- staged draft item count from pipeline output: 20
QA PRESSURE
Check every draft item for:
- natural Hochdeutsch;
- module-scope fit;
- no drift into adjacent modules;
- single-target safety;
- accepted-answer clarity;
- cue/person alignment;
- no hidden case/article/adjective/connector target unless explicitly owned;
- evidence strength matching support level;
- production marked self-marked only;
- mobile bus-ride suitability;
- source/copyright safety.
OUTPUT STRUCTURE
1. Source Verification
2. Intake Count Check
3. Batch-Level QA Summary
4. Issue Summary
5. Item-by-Item QA Table
6. Revised Approved Item Ledger
7. Cut / Deferred / Human-Check Ledger
8. Evidence and Review Safety Ledger
9. SupportPolicy / SupportPresentation Notes
10. Cue / Translation Safety Check
11. Mobile UX Check
12. Final Clean QA Inventory
13. Row-Reconciliation Handoff Counts
14. Final QA Checklist
15. Final Verdict
DECISION LABELS
Use exactly one per item:
- approve_as_is
- revise_and_approve
- cut
- defer
- needs_human_tutor_check
FINAL VERDICT
Use exactly one:
- READY_FOR_B1_05_ROW_RECONCILIATION
- READY_FOR_B1_05_QA_REVISION
- BLOCKED_BY_SOURCE_GAP
- BLOCKED_BY_CONTENT_SAFETY
SAVE OUTPUT AS
`ozmosis_b1_m05_first_day_contract_basics_phase3a_qa_approved_v0_1.md`
End with:
- final verdict
- exact next recommended action.</x:v>
      </x:c>
    </x:row>
    <x:row r="15" ht="90" customHeight="1">
      <x:c r="A15" s="12" t="n">
        <x:v>14</x:v>
      </x:c>
      <x:c r="B15" s="12" t="str">
        <x:v>YES</x:v>
      </x:c>
      <x:c r="C15" s="12" t="str">
        <x:v>B1-05</x:v>
      </x:c>
      <x:c r="D15" s="12" t="str">
        <x:v>First day / contract basics</x:v>
      </x:c>
      <x:c r="E15" s="12" t="str">
        <x:v>ROW_RECONCILIATION</x:v>
      </x:c>
      <x:c r="F15" s="12" t="str">
        <x:v>Row Reconciliation / Final Inventory</x:v>
      </x:c>
      <x:c r="G15" s="12" t="str">
        <x:v>ozmosis_b1_m05_first_day_contract_basics_full_staged_pipeline_output_v0_1.md; ozmosis_b1_m05_first_day_contract_basics_spoke_v0_1.md</x:v>
      </x:c>
      <x:c r="H15" s="12" t="str">
        <x:v>ozmosis_b1_m05_first_day_contract_basics_final_inventory_v0_1.md</x:v>
      </x:c>
      <x:c r="I15" s="12" t="str">
        <x:v>BLOCKED_BY_SOURCE_GAP; ROW_INTEGRITY_BLOCKER; BLOCKED_BY_CONTENT_SAFETY; BLOCKED_BY_SCHEMA_DECISION</x:v>
      </x:c>
      <x:c r="J15" s="12" t="str">
        <x:v>Title: Ozmosis B1-05 — Row Reconciliation / Final Inventory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row reconciliation and final inventory for B1-05 — First day / contract basics after module-specific QA.
INPUTS
- QA-approved file: `ozmosis_b1_m05_first_day_contract_basics_phase3a_qa_approved_v0_1.md`
- Original staged output: `ozmosis_b1_m05_first_day_contract_basics_full_staged_pipeline_output_v0_1.md`
- Module spoke: `ozmosis_b1_m05_first_day_contract_basics_spoke_v0_1.md`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RECONCILIATION RULE
expected count = actual rows + documented cuts + documented exclusions + documented deferrals + documented source discrepancies
No silent row loss.
REQUIRED CHECKS
- Draft item count from staged output: 20
- QA approved/revised count
- QA cut count
- QA deferred count
- human/tutor-check count
- notice/concept count
- production/self-marked count
- variant-family candidate count
- single retained item count
- final clean proceeding count
OUTPUT STRUCTURE
1. Source Verification
2. Executive Reconciliation Verdict
3. Intake Count Chain
4. QA Survivor Ledger
5. Cut / Deferred / Human-Check Ledger
6. Notice / Concept Card Ledger
7. Self-Marked Production Ledger
8. Variant-Family Candidate Ledger
9. Single Retained Item Ledger
10. Final Inventory Table
11. Row Discrepancy Ledger
12. Evidence Inflation Safeguards
13. Schema-Mapping Handoff
14. Final Checklist
15. Final Verdict
FINAL VERDICT
Use exactly one:
- READY_FOR_B1_05_SCHEMA_MAPPING
- READY_FOR_B1_05_INVENTORY_REVISION
- ROW_INTEGRITY_BLOCKER
- BLOCKED_BY_SOURCE_GAP
SAVE OUTPUT AS
`ozmosis_b1_m05_first_day_contract_basics_final_inventory_v0_1.md`
End with:
- final verdict
- exact next recommended action.</x:v>
      </x:c>
    </x:row>
    <x:row r="16" ht="90" customHeight="1">
      <x:c r="A16" s="12" t="n">
        <x:v>15</x:v>
      </x:c>
      <x:c r="B16" s="12" t="str">
        <x:v>YES</x:v>
      </x:c>
      <x:c r="C16" s="12" t="str">
        <x:v>B1-05</x:v>
      </x:c>
      <x:c r="D16" s="12" t="str">
        <x:v>First day / contract basics</x:v>
      </x:c>
      <x:c r="E16" s="12" t="str">
        <x:v>SCHEMA_MAPPING</x:v>
      </x:c>
      <x:c r="F16" s="12" t="str">
        <x:v>Schema Mapping</x:v>
      </x:c>
      <x:c r="G16" s="12" t="str">
        <x:v>ozmosis_b1_m05_first_day_contract_basics_full_staged_pipeline_output_v0_1.md; ozmosis_b1_m05_first_day_contract_basics_spoke_v0_1.md</x:v>
      </x:c>
      <x:c r="H16" s="12" t="str">
        <x:v>ozmosis_b1_m05_first_day_contract_basics_schema_mapping_v0_1.md</x:v>
      </x:c>
      <x:c r="I16" s="12" t="str">
        <x:v>BLOCKED_BY_SOURCE_GAP; ROW_INTEGRITY_BLOCKER; BLOCKED_BY_CONTENT_SAFETY; BLOCKED_BY_SCHEMA_DECISION</x:v>
      </x:c>
      <x:c r="J16" s="12" t="str">
        <x:v>Title: Ozmosis B1-05 — Schema Mapping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schema mapping for the final inventory of B1-05 — First day / contract basics.
INPUTS
- Final inventory: `ozmosis_b1_m05_first_day_contract_basics_final_inventory_v0_1.md`
- QA-approved file: `ozmosis_b1_m05_first_day_contract_basics_phase3a_qa_approved_v0_1.md`
- Module spoke: `ozmosis_b1_m05_first_day_contract_basics_spoke_v0_1.md`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MODULE LOCK
Use:
- displayModuleId: B1-05
- moduleKey: b1-05
- internalPlanningId: `b1_m05_first_day_contract_basics`
- moduleSlug: `first-day-contract-basics`
- moduleTitle: `First day / contract basics`
- levelTrack: B1
- cefrTarget: B1
MAPPING REQUIREMENTS
Map all clean survivor items and variant families into schema-planning metadata.
Include:
- source item ID
- targetFamilyId
- targetId
- taskType
- taskDepth
- answerMode
- answerShape
- correctnessPolicy
- acceptedAnswerPolicy
- canonicalAnswer
- acceptedAnswers
- evidenceType
- supportPolicy
- supportPresentation
- reviewEligibilityDefault
- reviewGroup
- siblingVariantGroup if relevant
- production self-marking safeguards
- source/copyright safety note
- learner-facing allowed flag
Do not output app-ready JSON. This is schema-planning only.
OUTPUT STRUCTURE
1. Source Verification
2. Schema Mapping Intake Check
3. Mapping Assumptions
4. Target-Family Mapping Summary
5. Item Mapping Summary
6. Variant-Family Mapping, if any
7. Full Item-by-Item Metadata Mapping
8. Evidence / Review Integrity Ledger
9. SupportPolicy / SupportPresentation Ledger
10. Cue / Translation Alignment Ledger
11. Fallback / Capitalisation / Ambiguity Ledger
12. Cut / Exclusion Schema Ledger
13. Import-Planning Caveats
14. Final QA Checklist
15. Final Verdict
FINAL VERDICT
Use exactly one:
- READY_FOR_B1_05_IMPORT_PLAN
- READY_FOR_B1_05_SCHEMA_REVISION
- BLOCKED_BY_SCHEMA_DECISION
- ROW_INTEGRITY_BLOCKER
- BLOCKED_BY_SOURCE_GAP
SAVE OUTPUT AS
`ozmosis_b1_m05_first_day_contract_basics_schema_mapping_v0_1.md`
End with:
- final verdict
- exact next recommended action.</x:v>
      </x:c>
    </x:row>
    <x:row r="17" ht="90" customHeight="1">
      <x:c r="A17" s="12" t="n">
        <x:v>16</x:v>
      </x:c>
      <x:c r="B17" s="12" t="str">
        <x:v>YES</x:v>
      </x:c>
      <x:c r="C17" s="12" t="str">
        <x:v>B1-05</x:v>
      </x:c>
      <x:c r="D17" s="12" t="str">
        <x:v>First day / contract basics</x:v>
      </x:c>
      <x:c r="E17" s="12" t="str">
        <x:v>CODEX_IMPORT_PLAN</x:v>
      </x:c>
      <x:c r="F17" s="12" t="str">
        <x:v>Codex Import Plan</x:v>
      </x:c>
      <x:c r="G17" s="12" t="str">
        <x:v>ozmosis_b1_m05_first_day_contract_basics_full_staged_pipeline_output_v0_1.md; ozmosis_b1_m05_first_day_contract_basics_spoke_v0_1.md</x:v>
      </x:c>
      <x:c r="H17" s="12" t="str">
        <x:v>ozmosis_b1_m05_first_day_contract_basics_codex_import_plan_v0_1.md</x:v>
      </x:c>
      <x:c r="I17" s="12" t="str">
        <x:v>BLOCKED_BY_SOURCE_GAP; ROW_INTEGRITY_BLOCKER; BLOCKED_BY_CONTENT_SAFETY; BLOCKED_BY_SCHEMA_DECISION</x:v>
      </x:c>
      <x:c r="J17" s="12" t="str">
        <x:v>Title: Ozmosis B1-05 — Codex Import Plan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Codex import plan for adding B1-05 — First day / contract basics to the Ozmosis app line.
This is import planning only.
Do not write the Codex implementation prompt yet.
INPUTS
- Schema mapping: `ozmosis_b1_m05_first_day_contract_basics_schema_mapping_v0_1.md`
- Final inventory: `ozmosis_b1_m05_first_day_contract_basics_final_inventory_v0_1.md`
- QA-approved file: `ozmosis_b1_m05_first_day_contract_basics_phase3a_qa_approved_v0_1.md`
- Module staged output: `ozmosis_b1_m05_first_day_contract_basics_full_staged_pipeline_output_v0_1.md`
- Current app package/source brief/roadmap.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VERSION DECISION
Recommend a version label. Starting suggestion for sequential module import:
`v0.80.8 — B1-05 First day / contract basics`
Do not call this v0.81 unless explicitly instructed. v0.81 remains separate unless the user supersedes that roadmap.
IMPORT-PLAN REQUIREMENTS
Tell Codex exactly:
- what app files to inspect before editing;
- where module content likely lives;
- how to preserve static-app architecture;
- how to preserve localStorage/export/import;
- how to register the module route/content safely;
- whether the module enters Today’s Sprint or Diagnostic Sprint immediately;
- what counts to validate;
- what records must be imported/excluded;
- what tests to run;
- what docs/changelog to create.
ARCHITECTURE RULES
No backend, no framework, no build step, no runtime generation, no dependencies, no storage-key renaming, no app redesign.
OUTPUT STRUCTURE
1. Source Verification
2. Executive Import Plan Verdict
3. Version Recommendation
4. Current App Architecture Assumptions To Verify
5. Import Strategy Decision
6. Import Scope
7. Content Records To Import
8. Records To Exclude
9. Mapping Decisions For Codex
10. Data Shape Requirements
11. Evidence / Review Safety Requirements
12. Route / Sampling Plan
13. Test Plan For Implementation Prompt
14. Documentation / Changelog Plan
15. Implementation Prompt Readiness Checklist
16. Final Verdict
FINAL VERDICT
Use exactly one:
- READY_FOR_B1_05_CODEX_IMPLEMENTATION_PROMPT
- IMPORT_PLAN_READY_WITH_DECISIONS
- IMPORT_PLAN_NEEDS_REVISION
- BLOCKED_BY_SOURCE_GAP
SAVE OUTPUT AS
`ozmosis_b1_m05_first_day_contract_basics_codex_import_plan_v0_1.md`
End with:
- final verdict
- exact next recommended action.</x:v>
      </x:c>
    </x:row>
    <x:row r="18" ht="90" customHeight="1">
      <x:c r="A18" s="12" t="n">
        <x:v>17</x:v>
      </x:c>
      <x:c r="B18" s="12" t="str">
        <x:v>YES</x:v>
      </x:c>
      <x:c r="C18" s="12" t="str">
        <x:v>B1-06</x:v>
      </x:c>
      <x:c r="D18" s="12" t="str">
        <x:v>Sick leave</x:v>
      </x:c>
      <x:c r="E18" s="12" t="str">
        <x:v>QA_REJECT_REVISE</x:v>
      </x:c>
      <x:c r="F18" s="12" t="str">
        <x:v>QA / Reject / Revise</x:v>
      </x:c>
      <x:c r="G18" s="12" t="str">
        <x:v>ozmosis_b1_m06_sick_leave_full_staged_pipeline_output_v0_1.md; ozmosis_b1_m06_sick_leave_spoke_v0_1.md</x:v>
      </x:c>
      <x:c r="H18" s="12" t="str">
        <x:v>ozmosis_b1_m06_sick_leave_phase3a_qa_approved_v0_1.md</x:v>
      </x:c>
      <x:c r="I18" s="12" t="str">
        <x:v>BLOCKED_BY_SOURCE_GAP; ROW_INTEGRITY_BLOCKER; BLOCKED_BY_CONTENT_SAFETY; BLOCKED_BY_SCHEMA_DECISION</x:v>
      </x:c>
      <x:c r="J18" s="12" t="str">
        <x:v>Title: Ozmosis B1-06 — Module-Specific QA / Reject / Revise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Audit, reject, revise, and approve the staged draft batch for B1-06 — Sick leave.
INPUTS
- Module full staged output: `ozmosis_b1_m06_sick_leave_full_staged_pipeline_output_v0_1.md`
- Module spoke: `ozmosis_b1_m06_sick_leave_spoke_v0_1.md`
- Pipeline master report: `ozmosis_b1_m02_m12_full_staged_content_pipeline_run_master_report_v0_1.md`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EXPECTED INTAKE
- moduleId: B1-06
- moduleTitle: Sick leave
- internalPlanningId: `b1_m06_sick_leave`
- moduleSlug: `sick-leave`
- staged draft item count from pipeline output: 20
QA PRESSURE
Check every draft item for:
- natural Hochdeutsch;
- module-scope fit;
- no drift into adjacent modules;
- single-target safety;
- accepted-answer clarity;
- cue/person alignment;
- no hidden case/article/adjective/connector target unless explicitly owned;
- evidence strength matching support level;
- production marked self-marked only;
- mobile bus-ride suitability;
- source/copyright safety.
OUTPUT STRUCTURE
1. Source Verification
2. Intake Count Check
3. Batch-Level QA Summary
4. Issue Summary
5. Item-by-Item QA Table
6. Revised Approved Item Ledger
7. Cut / Deferred / Human-Check Ledger
8. Evidence and Review Safety Ledger
9. SupportPolicy / SupportPresentation Notes
10. Cue / Translation Safety Check
11. Mobile UX Check
12. Final Clean QA Inventory
13. Row-Reconciliation Handoff Counts
14. Final QA Checklist
15. Final Verdict
DECISION LABELS
Use exactly one per item:
- approve_as_is
- revise_and_approve
- cut
- defer
- needs_human_tutor_check
FINAL VERDICT
Use exactly one:
- READY_FOR_B1_06_ROW_RECONCILIATION
- READY_FOR_B1_06_QA_REVISION
- BLOCKED_BY_SOURCE_GAP
- BLOCKED_BY_CONTENT_SAFETY
SAVE OUTPUT AS
`ozmosis_b1_m06_sick_leave_phase3a_qa_approved_v0_1.md`
End with:
- final verdict
- exact next recommended action.</x:v>
      </x:c>
    </x:row>
    <x:row r="19" ht="90" customHeight="1">
      <x:c r="A19" s="12" t="n">
        <x:v>18</x:v>
      </x:c>
      <x:c r="B19" s="12" t="str">
        <x:v>YES</x:v>
      </x:c>
      <x:c r="C19" s="12" t="str">
        <x:v>B1-06</x:v>
      </x:c>
      <x:c r="D19" s="12" t="str">
        <x:v>Sick leave</x:v>
      </x:c>
      <x:c r="E19" s="12" t="str">
        <x:v>ROW_RECONCILIATION</x:v>
      </x:c>
      <x:c r="F19" s="12" t="str">
        <x:v>Row Reconciliation / Final Inventory</x:v>
      </x:c>
      <x:c r="G19" s="12" t="str">
        <x:v>ozmosis_b1_m06_sick_leave_full_staged_pipeline_output_v0_1.md; ozmosis_b1_m06_sick_leave_spoke_v0_1.md</x:v>
      </x:c>
      <x:c r="H19" s="12" t="str">
        <x:v>ozmosis_b1_m06_sick_leave_final_inventory_v0_1.md</x:v>
      </x:c>
      <x:c r="I19" s="12" t="str">
        <x:v>BLOCKED_BY_SOURCE_GAP; ROW_INTEGRITY_BLOCKER; BLOCKED_BY_CONTENT_SAFETY; BLOCKED_BY_SCHEMA_DECISION</x:v>
      </x:c>
      <x:c r="J19" s="12" t="str">
        <x:v>Title: Ozmosis B1-06 — Row Reconciliation / Final Inventory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row reconciliation and final inventory for B1-06 — Sick leave after module-specific QA.
INPUTS
- QA-approved file: `ozmosis_b1_m06_sick_leave_phase3a_qa_approved_v0_1.md`
- Original staged output: `ozmosis_b1_m06_sick_leave_full_staged_pipeline_output_v0_1.md`
- Module spoke: `ozmosis_b1_m06_sick_leave_spoke_v0_1.md`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RECONCILIATION RULE
expected count = actual rows + documented cuts + documented exclusions + documented deferrals + documented source discrepancies
No silent row loss.
REQUIRED CHECKS
- Draft item count from staged output: 20
- QA approved/revised count
- QA cut count
- QA deferred count
- human/tutor-check count
- notice/concept count
- production/self-marked count
- variant-family candidate count
- single retained item count
- final clean proceeding count
OUTPUT STRUCTURE
1. Source Verification
2. Executive Reconciliation Verdict
3. Intake Count Chain
4. QA Survivor Ledger
5. Cut / Deferred / Human-Check Ledger
6. Notice / Concept Card Ledger
7. Self-Marked Production Ledger
8. Variant-Family Candidate Ledger
9. Single Retained Item Ledger
10. Final Inventory Table
11. Row Discrepancy Ledger
12. Evidence Inflation Safeguards
13. Schema-Mapping Handoff
14. Final Checklist
15. Final Verdict
FINAL VERDICT
Use exactly one:
- READY_FOR_B1_06_SCHEMA_MAPPING
- READY_FOR_B1_06_INVENTORY_REVISION
- ROW_INTEGRITY_BLOCKER
- BLOCKED_BY_SOURCE_GAP
SAVE OUTPUT AS
`ozmosis_b1_m06_sick_leave_final_inventory_v0_1.md`
End with:
- final verdict
- exact next recommended action.</x:v>
      </x:c>
    </x:row>
    <x:row r="20" ht="90" customHeight="1">
      <x:c r="A20" s="12" t="n">
        <x:v>19</x:v>
      </x:c>
      <x:c r="B20" s="12" t="str">
        <x:v>YES</x:v>
      </x:c>
      <x:c r="C20" s="12" t="str">
        <x:v>B1-06</x:v>
      </x:c>
      <x:c r="D20" s="12" t="str">
        <x:v>Sick leave</x:v>
      </x:c>
      <x:c r="E20" s="12" t="str">
        <x:v>SCHEMA_MAPPING</x:v>
      </x:c>
      <x:c r="F20" s="12" t="str">
        <x:v>Schema Mapping</x:v>
      </x:c>
      <x:c r="G20" s="12" t="str">
        <x:v>ozmosis_b1_m06_sick_leave_full_staged_pipeline_output_v0_1.md; ozmosis_b1_m06_sick_leave_spoke_v0_1.md</x:v>
      </x:c>
      <x:c r="H20" s="12" t="str">
        <x:v>ozmosis_b1_m06_sick_leave_schema_mapping_v0_1.md</x:v>
      </x:c>
      <x:c r="I20" s="12" t="str">
        <x:v>BLOCKED_BY_SOURCE_GAP; ROW_INTEGRITY_BLOCKER; BLOCKED_BY_CONTENT_SAFETY; BLOCKED_BY_SCHEMA_DECISION</x:v>
      </x:c>
      <x:c r="J20" s="12" t="str">
        <x:v>Title: Ozmosis B1-06 — Schema Mapping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schema mapping for the final inventory of B1-06 — Sick leave.
INPUTS
- Final inventory: `ozmosis_b1_m06_sick_leave_final_inventory_v0_1.md`
- QA-approved file: `ozmosis_b1_m06_sick_leave_phase3a_qa_approved_v0_1.md`
- Module spoke: `ozmosis_b1_m06_sick_leave_spoke_v0_1.md`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MODULE LOCK
Use:
- displayModuleId: B1-06
- moduleKey: b1-06
- internalPlanningId: `b1_m06_sick_leave`
- moduleSlug: `sick-leave`
- moduleTitle: `Sick leave`
- levelTrack: B1
- cefrTarget: B1
MAPPING REQUIREMENTS
Map all clean survivor items and variant families into schema-planning metadata.
Include:
- source item ID
- targetFamilyId
- targetId
- taskType
- taskDepth
- answerMode
- answerShape
- correctnessPolicy
- acceptedAnswerPolicy
- canonicalAnswer
- acceptedAnswers
- evidenceType
- supportPolicy
- supportPresentation
- reviewEligibilityDefault
- reviewGroup
- siblingVariantGroup if relevant
- production self-marking safeguards
- source/copyright safety note
- learner-facing allowed flag
Do not output app-ready JSON. This is schema-planning only.
OUTPUT STRUCTURE
1. Source Verification
2. Schema Mapping Intake Check
3. Mapping Assumptions
4. Target-Family Mapping Summary
5. Item Mapping Summary
6. Variant-Family Mapping, if any
7. Full Item-by-Item Metadata Mapping
8. Evidence / Review Integrity Ledger
9. SupportPolicy / SupportPresentation Ledger
10. Cue / Translation Alignment Ledger
11. Fallback / Capitalisation / Ambiguity Ledger
12. Cut / Exclusion Schema Ledger
13. Import-Planning Caveats
14. Final QA Checklist
15. Final Verdict
FINAL VERDICT
Use exactly one:
- READY_FOR_B1_06_IMPORT_PLAN
- READY_FOR_B1_06_SCHEMA_REVISION
- BLOCKED_BY_SCHEMA_DECISION
- ROW_INTEGRITY_BLOCKER
- BLOCKED_BY_SOURCE_GAP
SAVE OUTPUT AS
`ozmosis_b1_m06_sick_leave_schema_mapping_v0_1.md`
End with:
- final verdict
- exact next recommended action.</x:v>
      </x:c>
    </x:row>
    <x:row r="21" ht="90" customHeight="1">
      <x:c r="A21" s="12" t="n">
        <x:v>20</x:v>
      </x:c>
      <x:c r="B21" s="12" t="str">
        <x:v>YES</x:v>
      </x:c>
      <x:c r="C21" s="12" t="str">
        <x:v>B1-06</x:v>
      </x:c>
      <x:c r="D21" s="12" t="str">
        <x:v>Sick leave</x:v>
      </x:c>
      <x:c r="E21" s="12" t="str">
        <x:v>CODEX_IMPORT_PLAN</x:v>
      </x:c>
      <x:c r="F21" s="12" t="str">
        <x:v>Codex Import Plan</x:v>
      </x:c>
      <x:c r="G21" s="12" t="str">
        <x:v>ozmosis_b1_m06_sick_leave_full_staged_pipeline_output_v0_1.md; ozmosis_b1_m06_sick_leave_spoke_v0_1.md</x:v>
      </x:c>
      <x:c r="H21" s="12" t="str">
        <x:v>ozmosis_b1_m06_sick_leave_codex_import_plan_v0_1.md</x:v>
      </x:c>
      <x:c r="I21" s="12" t="str">
        <x:v>BLOCKED_BY_SOURCE_GAP; ROW_INTEGRITY_BLOCKER; BLOCKED_BY_CONTENT_SAFETY; BLOCKED_BY_SCHEMA_DECISION</x:v>
      </x:c>
      <x:c r="J21" s="12" t="str">
        <x:v>Title: Ozmosis B1-06 — Codex Import Plan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Codex import plan for adding B1-06 — Sick leave to the Ozmosis app line.
This is import planning only.
Do not write the Codex implementation prompt yet.
INPUTS
- Schema mapping: `ozmosis_b1_m06_sick_leave_schema_mapping_v0_1.md`
- Final inventory: `ozmosis_b1_m06_sick_leave_final_inventory_v0_1.md`
- QA-approved file: `ozmosis_b1_m06_sick_leave_phase3a_qa_approved_v0_1.md`
- Module staged output: `ozmosis_b1_m06_sick_leave_full_staged_pipeline_output_v0_1.md`
- Current app package/source brief/roadmap.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VERSION DECISION
Recommend a version label. Starting suggestion for sequential module import:
`v0.80.9 — B1-06 Sick leave`
Do not call this v0.81 unless explicitly instructed. v0.81 remains separate unless the user supersedes that roadmap.
IMPORT-PLAN REQUIREMENTS
Tell Codex exactly:
- what app files to inspect before editing;
- where module content likely lives;
- how to preserve static-app architecture;
- how to preserve localStorage/export/import;
- how to register the module route/content safely;
- whether the module enters Today’s Sprint or Diagnostic Sprint immediately;
- what counts to validate;
- what records must be imported/excluded;
- what tests to run;
- what docs/changelog to create.
ARCHITECTURE RULES
No backend, no framework, no build step, no runtime generation, no dependencies, no storage-key renaming, no app redesign.
OUTPUT STRUCTURE
1. Source Verification
2. Executive Import Plan Verdict
3. Version Recommendation
4. Current App Architecture Assumptions To Verify
5. Import Strategy Decision
6. Import Scope
7. Content Records To Import
8. Records To Exclude
9. Mapping Decisions For Codex
10. Data Shape Requirements
11. Evidence / Review Safety Requirements
12. Route / Sampling Plan
13. Test Plan For Implementation Prompt
14. Documentation / Changelog Plan
15. Implementation Prompt Readiness Checklist
16. Final Verdict
FINAL VERDICT
Use exactly one:
- READY_FOR_B1_06_CODEX_IMPLEMENTATION_PROMPT
- IMPORT_PLAN_READY_WITH_DECISIONS
- IMPORT_PLAN_NEEDS_REVISION
- BLOCKED_BY_SOURCE_GAP
SAVE OUTPUT AS
`ozmosis_b1_m06_sick_leave_codex_import_plan_v0_1.md`
End with:
- final verdict
- exact next recommended action.</x:v>
      </x:c>
    </x:row>
    <x:row r="22" ht="90" customHeight="1">
      <x:c r="A22" s="12" t="n">
        <x:v>21</x:v>
      </x:c>
      <x:c r="B22" s="12" t="str">
        <x:v>YES</x:v>
      </x:c>
      <x:c r="C22" s="12" t="str">
        <x:v>B1-07</x:v>
      </x:c>
      <x:c r="D22" s="12" t="str">
        <x:v>Meetings / leave requests</x:v>
      </x:c>
      <x:c r="E22" s="12" t="str">
        <x:v>QA_REJECT_REVISE</x:v>
      </x:c>
      <x:c r="F22" s="12" t="str">
        <x:v>QA / Reject / Revise</x:v>
      </x:c>
      <x:c r="G22" s="12" t="str">
        <x:v>ozmosis_b1_m07_meetings_leave_requests_full_staged_pipeline_output_v0_1.md; ozmosis_b1_m07_meetings_leave_requests_spoke_v0_1.md</x:v>
      </x:c>
      <x:c r="H22" s="12" t="str">
        <x:v>ozmosis_b1_m07_meetings_leave_requests_phase3a_qa_approved_v0_1.md</x:v>
      </x:c>
      <x:c r="I22" s="12" t="str">
        <x:v>BLOCKED_BY_SOURCE_GAP; ROW_INTEGRITY_BLOCKER; BLOCKED_BY_CONTENT_SAFETY; BLOCKED_BY_SCHEMA_DECISION</x:v>
      </x:c>
      <x:c r="J22" s="12" t="str">
        <x:v>Title: Ozmosis B1-07 — Module-Specific QA / Reject / Revise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Audit, reject, revise, and approve the staged draft batch for B1-07 — Meetings / leave requests.
INPUTS
- Module full staged output: `ozmosis_b1_m07_meetings_leave_requests_full_staged_pipeline_output_v0_1.md`
- Module spoke: `ozmosis_b1_m07_meetings_leave_requests_spoke_v0_1.md`
- Pipeline master report: `ozmosis_b1_m02_m12_full_staged_content_pipeline_run_master_report_v0_1.md`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EXPECTED INTAKE
- moduleId: B1-07
- moduleTitle: Meetings / leave requests
- internalPlanningId: `b1_m07_meetings_leave_requests`
- moduleSlug: `meetings-leave-requests`
- staged draft item count from pipeline output: 20
QA PRESSURE
Check every draft item for:
- natural Hochdeutsch;
- module-scope fit;
- no drift into adjacent modules;
- single-target safety;
- accepted-answer clarity;
- cue/person alignment;
- no hidden case/article/adjective/connector target unless explicitly owned;
- evidence strength matching support level;
- production marked self-marked only;
- mobile bus-ride suitability;
- source/copyright safety.
OUTPUT STRUCTURE
1. Source Verification
2. Intake Count Check
3. Batch-Level QA Summary
4. Issue Summary
5. Item-by-Item QA Table
6. Revised Approved Item Ledger
7. Cut / Deferred / Human-Check Ledger
8. Evidence and Review Safety Ledger
9. SupportPolicy / SupportPresentation Notes
10. Cue / Translation Safety Check
11. Mobile UX Check
12. Final Clean QA Inventory
13. Row-Reconciliation Handoff Counts
14. Final QA Checklist
15. Final Verdict
DECISION LABELS
Use exactly one per item:
- approve_as_is
- revise_and_approve
- cut
- defer
- needs_human_tutor_check
FINAL VERDICT
Use exactly one:
- READY_FOR_B1_07_ROW_RECONCILIATION
- READY_FOR_B1_07_QA_REVISION
- BLOCKED_BY_SOURCE_GAP
- BLOCKED_BY_CONTENT_SAFETY
SAVE OUTPUT AS
`ozmosis_b1_m07_meetings_leave_requests_phase3a_qa_approved_v0_1.md`
End with:
- final verdict
- exact next recommended action.</x:v>
      </x:c>
    </x:row>
    <x:row r="23" ht="90" customHeight="1">
      <x:c r="A23" s="12" t="n">
        <x:v>22</x:v>
      </x:c>
      <x:c r="B23" s="12" t="str">
        <x:v>YES</x:v>
      </x:c>
      <x:c r="C23" s="12" t="str">
        <x:v>B1-07</x:v>
      </x:c>
      <x:c r="D23" s="12" t="str">
        <x:v>Meetings / leave requests</x:v>
      </x:c>
      <x:c r="E23" s="12" t="str">
        <x:v>ROW_RECONCILIATION</x:v>
      </x:c>
      <x:c r="F23" s="12" t="str">
        <x:v>Row Reconciliation / Final Inventory</x:v>
      </x:c>
      <x:c r="G23" s="12" t="str">
        <x:v>ozmosis_b1_m07_meetings_leave_requests_full_staged_pipeline_output_v0_1.md; ozmosis_b1_m07_meetings_leave_requests_spoke_v0_1.md</x:v>
      </x:c>
      <x:c r="H23" s="12" t="str">
        <x:v>ozmosis_b1_m07_meetings_leave_requests_final_inventory_v0_1.md</x:v>
      </x:c>
      <x:c r="I23" s="12" t="str">
        <x:v>BLOCKED_BY_SOURCE_GAP; ROW_INTEGRITY_BLOCKER; BLOCKED_BY_CONTENT_SAFETY; BLOCKED_BY_SCHEMA_DECISION</x:v>
      </x:c>
      <x:c r="J23" s="12" t="str">
        <x:v>Title: Ozmosis B1-07 — Row Reconciliation / Final Inventory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row reconciliation and final inventory for B1-07 — Meetings / leave requests after module-specific QA.
INPUTS
- QA-approved file: `ozmosis_b1_m07_meetings_leave_requests_phase3a_qa_approved_v0_1.md`
- Original staged output: `ozmosis_b1_m07_meetings_leave_requests_full_staged_pipeline_output_v0_1.md`
- Module spoke: `ozmosis_b1_m07_meetings_leave_requests_spoke_v0_1.md`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RECONCILIATION RULE
expected count = actual rows + documented cuts + documented exclusions + documented deferrals + documented source discrepancies
No silent row loss.
REQUIRED CHECKS
- Draft item count from staged output: 20
- QA approved/revised count
- QA cut count
- QA deferred count
- human/tutor-check count
- notice/concept count
- production/self-marked count
- variant-family candidate count
- single retained item count
- final clean proceeding count
OUTPUT STRUCTURE
1. Source Verification
2. Executive Reconciliation Verdict
3. Intake Count Chain
4. QA Survivor Ledger
5. Cut / Deferred / Human-Check Ledger
6. Notice / Concept Card Ledger
7. Self-Marked Production Ledger
8. Variant-Family Candidate Ledger
9. Single Retained Item Ledger
10. Final Inventory Table
11. Row Discrepancy Ledger
12. Evidence Inflation Safeguards
13. Schema-Mapping Handoff
14. Final Checklist
15. Final Verdict
FINAL VERDICT
Use exactly one:
- READY_FOR_B1_07_SCHEMA_MAPPING
- READY_FOR_B1_07_INVENTORY_REVISION
- ROW_INTEGRITY_BLOCKER
- BLOCKED_BY_SOURCE_GAP
SAVE OUTPUT AS
`ozmosis_b1_m07_meetings_leave_requests_final_inventory_v0_1.md`
End with:
- final verdict
- exact next recommended action.</x:v>
      </x:c>
    </x:row>
    <x:row r="24" ht="90" customHeight="1">
      <x:c r="A24" s="12" t="n">
        <x:v>23</x:v>
      </x:c>
      <x:c r="B24" s="12" t="str">
        <x:v>YES</x:v>
      </x:c>
      <x:c r="C24" s="12" t="str">
        <x:v>B1-07</x:v>
      </x:c>
      <x:c r="D24" s="12" t="str">
        <x:v>Meetings / leave requests</x:v>
      </x:c>
      <x:c r="E24" s="12" t="str">
        <x:v>SCHEMA_MAPPING</x:v>
      </x:c>
      <x:c r="F24" s="12" t="str">
        <x:v>Schema Mapping</x:v>
      </x:c>
      <x:c r="G24" s="12" t="str">
        <x:v>ozmosis_b1_m07_meetings_leave_requests_full_staged_pipeline_output_v0_1.md; ozmosis_b1_m07_meetings_leave_requests_spoke_v0_1.md</x:v>
      </x:c>
      <x:c r="H24" s="12" t="str">
        <x:v>ozmosis_b1_m07_meetings_leave_requests_schema_mapping_v0_1.md</x:v>
      </x:c>
      <x:c r="I24" s="12" t="str">
        <x:v>BLOCKED_BY_SOURCE_GAP; ROW_INTEGRITY_BLOCKER; BLOCKED_BY_CONTENT_SAFETY; BLOCKED_BY_SCHEMA_DECISION</x:v>
      </x:c>
      <x:c r="J24" s="12" t="str">
        <x:v>Title: Ozmosis B1-07 — Schema Mapping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schema mapping for the final inventory of B1-07 — Meetings / leave requests.
INPUTS
- Final inventory: `ozmosis_b1_m07_meetings_leave_requests_final_inventory_v0_1.md`
- QA-approved file: `ozmosis_b1_m07_meetings_leave_requests_phase3a_qa_approved_v0_1.md`
- Module spoke: `ozmosis_b1_m07_meetings_leave_requests_spoke_v0_1.md`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MODULE LOCK
Use:
- displayModuleId: B1-07
- moduleKey: b1-07
- internalPlanningId: `b1_m07_meetings_leave_requests`
- moduleSlug: `meetings-leave-requests`
- moduleTitle: `Meetings / leave requests`
- levelTrack: B1
- cefrTarget: B1
MAPPING REQUIREMENTS
Map all clean survivor items and variant families into schema-planning metadata.
Include:
- source item ID
- targetFamilyId
- targetId
- taskType
- taskDepth
- answerMode
- answerShape
- correctnessPolicy
- acceptedAnswerPolicy
- canonicalAnswer
- acceptedAnswers
- evidenceType
- supportPolicy
- supportPresentation
- reviewEligibilityDefault
- reviewGroup
- siblingVariantGroup if relevant
- production self-marking safeguards
- source/copyright safety note
- learner-facing allowed flag
Do not output app-ready JSON. This is schema-planning only.
OUTPUT STRUCTURE
1. Source Verification
2. Schema Mapping Intake Check
3. Mapping Assumptions
4. Target-Family Mapping Summary
5. Item Mapping Summary
6. Variant-Family Mapping, if any
7. Full Item-by-Item Metadata Mapping
8. Evidence / Review Integrity Ledger
9. SupportPolicy / SupportPresentation Ledger
10. Cue / Translation Alignment Ledger
11. Fallback / Capitalisation / Ambiguity Ledger
12. Cut / Exclusion Schema Ledger
13. Import-Planning Caveats
14. Final QA Checklist
15. Final Verdict
FINAL VERDICT
Use exactly one:
- READY_FOR_B1_07_IMPORT_PLAN
- READY_FOR_B1_07_SCHEMA_REVISION
- BLOCKED_BY_SCHEMA_DECISION
- ROW_INTEGRITY_BLOCKER
- BLOCKED_BY_SOURCE_GAP
SAVE OUTPUT AS
`ozmosis_b1_m07_meetings_leave_requests_schema_mapping_v0_1.md`
End with:
- final verdict
- exact next recommended action.</x:v>
      </x:c>
    </x:row>
    <x:row r="25" ht="90" customHeight="1">
      <x:c r="A25" s="12" t="n">
        <x:v>24</x:v>
      </x:c>
      <x:c r="B25" s="12" t="str">
        <x:v>YES</x:v>
      </x:c>
      <x:c r="C25" s="12" t="str">
        <x:v>B1-07</x:v>
      </x:c>
      <x:c r="D25" s="12" t="str">
        <x:v>Meetings / leave requests</x:v>
      </x:c>
      <x:c r="E25" s="12" t="str">
        <x:v>CODEX_IMPORT_PLAN</x:v>
      </x:c>
      <x:c r="F25" s="12" t="str">
        <x:v>Codex Import Plan</x:v>
      </x:c>
      <x:c r="G25" s="12" t="str">
        <x:v>ozmosis_b1_m07_meetings_leave_requests_full_staged_pipeline_output_v0_1.md; ozmosis_b1_m07_meetings_leave_requests_spoke_v0_1.md</x:v>
      </x:c>
      <x:c r="H25" s="12" t="str">
        <x:v>ozmosis_b1_m07_meetings_leave_requests_codex_import_plan_v0_1.md</x:v>
      </x:c>
      <x:c r="I25" s="12" t="str">
        <x:v>BLOCKED_BY_SOURCE_GAP; ROW_INTEGRITY_BLOCKER; BLOCKED_BY_CONTENT_SAFETY; BLOCKED_BY_SCHEMA_DECISION</x:v>
      </x:c>
      <x:c r="J25" s="12" t="str">
        <x:v>Title: Ozmosis B1-07 — Codex Import Plan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Codex import plan for adding B1-07 — Meetings / leave requests to the Ozmosis app line.
This is import planning only.
Do not write the Codex implementation prompt yet.
INPUTS
- Schema mapping: `ozmosis_b1_m07_meetings_leave_requests_schema_mapping_v0_1.md`
- Final inventory: `ozmosis_b1_m07_meetings_leave_requests_final_inventory_v0_1.md`
- QA-approved file: `ozmosis_b1_m07_meetings_leave_requests_phase3a_qa_approved_v0_1.md`
- Module staged output: `ozmosis_b1_m07_meetings_leave_requests_full_staged_pipeline_output_v0_1.md`
- Current app package/source brief/roadmap.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VERSION DECISION
Recommend a version label. Starting suggestion for sequential module import:
`v0.80.10 — B1-07 Meetings / leave requests`
Do not call this v0.81 unless explicitly instructed. v0.81 remains separate unless the user supersedes that roadmap.
IMPORT-PLAN REQUIREMENTS
Tell Codex exactly:
- what app files to inspect before editing;
- where module content likely lives;
- how to preserve static-app architecture;
- how to preserve localStorage/export/import;
- how to register the module route/content safely;
- whether the module enters Today’s Sprint or Diagnostic Sprint immediately;
- what counts to validate;
- what records must be imported/excluded;
- what tests to run;
- what docs/changelog to create.
ARCHITECTURE RULES
No backend, no framework, no build step, no runtime generation, no dependencies, no storage-key renaming, no app redesign.
OUTPUT STRUCTURE
1. Source Verification
2. Executive Import Plan Verdict
3. Version Recommendation
4. Current App Architecture Assumptions To Verify
5. Import Strategy Decision
6. Import Scope
7. Content Records To Import
8. Records To Exclude
9. Mapping Decisions For Codex
10. Data Shape Requirements
11. Evidence / Review Safety Requirements
12. Route / Sampling Plan
13. Test Plan For Implementation Prompt
14. Documentation / Changelog Plan
15. Implementation Prompt Readiness Checklist
16. Final Verdict
FINAL VERDICT
Use exactly one:
- READY_FOR_B1_07_CODEX_IMPLEMENTATION_PROMPT
- IMPORT_PLAN_READY_WITH_DECISIONS
- IMPORT_PLAN_NEEDS_REVISION
- BLOCKED_BY_SOURCE_GAP
SAVE OUTPUT AS
`ozmosis_b1_m07_meetings_leave_requests_codex_import_plan_v0_1.md`
End with:
- final verdict
- exact next recommended action.</x:v>
      </x:c>
    </x:row>
    <x:row r="26" ht="90" customHeight="1">
      <x:c r="A26" s="12" t="n">
        <x:v>25</x:v>
      </x:c>
      <x:c r="B26" s="12" t="str">
        <x:v>YES</x:v>
      </x:c>
      <x:c r="C26" s="12" t="str">
        <x:v>B1-08</x:v>
      </x:c>
      <x:c r="D26" s="12" t="str">
        <x:v>Orders / delivery</x:v>
      </x:c>
      <x:c r="E26" s="12" t="str">
        <x:v>QA_REJECT_REVISE</x:v>
      </x:c>
      <x:c r="F26" s="12" t="str">
        <x:v>QA / Reject / Revise</x:v>
      </x:c>
      <x:c r="G26" s="12" t="str">
        <x:v>ozmosis_b1_m08_orders_delivery_full_staged_pipeline_output_v0_1.md; ozmosis_b1_m08_orders_delivery_spoke_v0_1.md</x:v>
      </x:c>
      <x:c r="H26" s="12" t="str">
        <x:v>ozmosis_b1_m08_orders_delivery_phase3a_qa_approved_v0_1.md</x:v>
      </x:c>
      <x:c r="I26" s="12" t="str">
        <x:v>BLOCKED_BY_SOURCE_GAP; ROW_INTEGRITY_BLOCKER; BLOCKED_BY_CONTENT_SAFETY; BLOCKED_BY_SCHEMA_DECISION</x:v>
      </x:c>
      <x:c r="J26" s="12" t="str">
        <x:v>Title: Ozmosis B1-08 — Module-Specific QA / Reject / Revise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Audit, reject, revise, and approve the staged draft batch for B1-08 — Orders / delivery.
INPUTS
- Module full staged output: `ozmosis_b1_m08_orders_delivery_full_staged_pipeline_output_v0_1.md`
- Module spoke: `ozmosis_b1_m08_orders_delivery_spoke_v0_1.md`
- Pipeline master report: `ozmosis_b1_m02_m12_full_staged_content_pipeline_run_master_report_v0_1.md`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EXPECTED INTAKE
- moduleId: B1-08
- moduleTitle: Orders / delivery
- internalPlanningId: `b1_m08_orders_delivery`
- moduleSlug: `orders-delivery`
- staged draft item count from pipeline output: 20
QA PRESSURE
Check every draft item for:
- natural Hochdeutsch;
- module-scope fit;
- no drift into adjacent modules;
- single-target safety;
- accepted-answer clarity;
- cue/person alignment;
- no hidden case/article/adjective/connector target unless explicitly owned;
- evidence strength matching support level;
- production marked self-marked only;
- mobile bus-ride suitability;
- source/copyright safety.
OUTPUT STRUCTURE
1. Source Verification
2. Intake Count Check
3. Batch-Level QA Summary
4. Issue Summary
5. Item-by-Item QA Table
6. Revised Approved Item Ledger
7. Cut / Deferred / Human-Check Ledger
8. Evidence and Review Safety Ledger
9. SupportPolicy / SupportPresentation Notes
10. Cue / Translation Safety Check
11. Mobile UX Check
12. Final Clean QA Inventory
13. Row-Reconciliation Handoff Counts
14. Final QA Checklist
15. Final Verdict
DECISION LABELS
Use exactly one per item:
- approve_as_is
- revise_and_approve
- cut
- defer
- needs_human_tutor_check
FINAL VERDICT
Use exactly one:
- READY_FOR_B1_08_ROW_RECONCILIATION
- READY_FOR_B1_08_QA_REVISION
- BLOCKED_BY_SOURCE_GAP
- BLOCKED_BY_CONTENT_SAFETY
SAVE OUTPUT AS
`ozmosis_b1_m08_orders_delivery_phase3a_qa_approved_v0_1.md`
End with:
- final verdict
- exact next recommended action.</x:v>
      </x:c>
    </x:row>
    <x:row r="27" ht="90" customHeight="1">
      <x:c r="A27" s="12" t="n">
        <x:v>26</x:v>
      </x:c>
      <x:c r="B27" s="12" t="str">
        <x:v>YES</x:v>
      </x:c>
      <x:c r="C27" s="12" t="str">
        <x:v>B1-08</x:v>
      </x:c>
      <x:c r="D27" s="12" t="str">
        <x:v>Orders / delivery</x:v>
      </x:c>
      <x:c r="E27" s="12" t="str">
        <x:v>ROW_RECONCILIATION</x:v>
      </x:c>
      <x:c r="F27" s="12" t="str">
        <x:v>Row Reconciliation / Final Inventory</x:v>
      </x:c>
      <x:c r="G27" s="12" t="str">
        <x:v>ozmosis_b1_m08_orders_delivery_full_staged_pipeline_output_v0_1.md; ozmosis_b1_m08_orders_delivery_spoke_v0_1.md</x:v>
      </x:c>
      <x:c r="H27" s="12" t="str">
        <x:v>ozmosis_b1_m08_orders_delivery_final_inventory_v0_1.md</x:v>
      </x:c>
      <x:c r="I27" s="12" t="str">
        <x:v>BLOCKED_BY_SOURCE_GAP; ROW_INTEGRITY_BLOCKER; BLOCKED_BY_CONTENT_SAFETY; BLOCKED_BY_SCHEMA_DECISION</x:v>
      </x:c>
      <x:c r="J27" s="12" t="str">
        <x:v>Title: Ozmosis B1-08 — Row Reconciliation / Final Inventory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row reconciliation and final inventory for B1-08 — Orders / delivery after module-specific QA.
INPUTS
- QA-approved file: `ozmosis_b1_m08_orders_delivery_phase3a_qa_approved_v0_1.md`
- Original staged output: `ozmosis_b1_m08_orders_delivery_full_staged_pipeline_output_v0_1.md`
- Module spoke: `ozmosis_b1_m08_orders_delivery_spoke_v0_1.md`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RECONCILIATION RULE
expected count = actual rows + documented cuts + documented exclusions + documented deferrals + documented source discrepancies
No silent row loss.
REQUIRED CHECKS
- Draft item count from staged output: 20
- QA approved/revised count
- QA cut count
- QA deferred count
- human/tutor-check count
- notice/concept count
- production/self-marked count
- variant-family candidate count
- single retained item count
- final clean proceeding count
OUTPUT STRUCTURE
1. Source Verification
2. Executive Reconciliation Verdict
3. Intake Count Chain
4. QA Survivor Ledger
5. Cut / Deferred / Human-Check Ledger
6. Notice / Concept Card Ledger
7. Self-Marked Production Ledger
8. Variant-Family Candidate Ledger
9. Single Retained Item Ledger
10. Final Inventory Table
11. Row Discrepancy Ledger
12. Evidence Inflation Safeguards
13. Schema-Mapping Handoff
14. Final Checklist
15. Final Verdict
FINAL VERDICT
Use exactly one:
- READY_FOR_B1_08_SCHEMA_MAPPING
- READY_FOR_B1_08_INVENTORY_REVISION
- ROW_INTEGRITY_BLOCKER
- BLOCKED_BY_SOURCE_GAP
SAVE OUTPUT AS
`ozmosis_b1_m08_orders_delivery_final_inventory_v0_1.md`
End with:
- final verdict
- exact next recommended action.</x:v>
      </x:c>
    </x:row>
    <x:row r="28" ht="90" customHeight="1">
      <x:c r="A28" s="12" t="n">
        <x:v>27</x:v>
      </x:c>
      <x:c r="B28" s="12" t="str">
        <x:v>YES</x:v>
      </x:c>
      <x:c r="C28" s="12" t="str">
        <x:v>B1-08</x:v>
      </x:c>
      <x:c r="D28" s="12" t="str">
        <x:v>Orders / delivery</x:v>
      </x:c>
      <x:c r="E28" s="12" t="str">
        <x:v>SCHEMA_MAPPING</x:v>
      </x:c>
      <x:c r="F28" s="12" t="str">
        <x:v>Schema Mapping</x:v>
      </x:c>
      <x:c r="G28" s="12" t="str">
        <x:v>ozmosis_b1_m08_orders_delivery_full_staged_pipeline_output_v0_1.md; ozmosis_b1_m08_orders_delivery_spoke_v0_1.md</x:v>
      </x:c>
      <x:c r="H28" s="12" t="str">
        <x:v>ozmosis_b1_m08_orders_delivery_schema_mapping_v0_1.md</x:v>
      </x:c>
      <x:c r="I28" s="12" t="str">
        <x:v>BLOCKED_BY_SOURCE_GAP; ROW_INTEGRITY_BLOCKER; BLOCKED_BY_CONTENT_SAFETY; BLOCKED_BY_SCHEMA_DECISION</x:v>
      </x:c>
      <x:c r="J28" s="12" t="str">
        <x:v>Title: Ozmosis B1-08 — Schema Mapping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schema mapping for the final inventory of B1-08 — Orders / delivery.
INPUTS
- Final inventory: `ozmosis_b1_m08_orders_delivery_final_inventory_v0_1.md`
- QA-approved file: `ozmosis_b1_m08_orders_delivery_phase3a_qa_approved_v0_1.md`
- Module spoke: `ozmosis_b1_m08_orders_delivery_spoke_v0_1.md`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MODULE LOCK
Use:
- displayModuleId: B1-08
- moduleKey: b1-08
- internalPlanningId: `b1_m08_orders_delivery`
- moduleSlug: `orders-delivery`
- moduleTitle: `Orders / delivery`
- levelTrack: B1
- cefrTarget: B1
MAPPING REQUIREMENTS
Map all clean survivor items and variant families into schema-planning metadata.
Include:
- source item ID
- targetFamilyId
- targetId
- taskType
- taskDepth
- answerMode
- answerShape
- correctnessPolicy
- acceptedAnswerPolicy
- canonicalAnswer
- acceptedAnswers
- evidenceType
- supportPolicy
- supportPresentation
- reviewEligibilityDefault
- reviewGroup
- siblingVariantGroup if relevant
- production self-marking safeguards
- source/copyright safety note
- learner-facing allowed flag
Do not output app-ready JSON. This is schema-planning only.
OUTPUT STRUCTURE
1. Source Verification
2. Schema Mapping Intake Check
3. Mapping Assumptions
4. Target-Family Mapping Summary
5. Item Mapping Summary
6. Variant-Family Mapping, if any
7. Full Item-by-Item Metadata Mapping
8. Evidence / Review Integrity Ledger
9. SupportPolicy / SupportPresentation Ledger
10. Cue / Translation Alignment Ledger
11. Fallback / Capitalisation / Ambiguity Ledger
12. Cut / Exclusion Schema Ledger
13. Import-Planning Caveats
14. Final QA Checklist
15. Final Verdict
FINAL VERDICT
Use exactly one:
- READY_FOR_B1_08_IMPORT_PLAN
- READY_FOR_B1_08_SCHEMA_REVISION
- BLOCKED_BY_SCHEMA_DECISION
- ROW_INTEGRITY_BLOCKER
- BLOCKED_BY_SOURCE_GAP
SAVE OUTPUT AS
`ozmosis_b1_m08_orders_delivery_schema_mapping_v0_1.md`
End with:
- final verdict
- exact next recommended action.</x:v>
      </x:c>
    </x:row>
    <x:row r="29" ht="90" customHeight="1">
      <x:c r="A29" s="12" t="n">
        <x:v>28</x:v>
      </x:c>
      <x:c r="B29" s="12" t="str">
        <x:v>YES</x:v>
      </x:c>
      <x:c r="C29" s="12" t="str">
        <x:v>B1-08</x:v>
      </x:c>
      <x:c r="D29" s="12" t="str">
        <x:v>Orders / delivery</x:v>
      </x:c>
      <x:c r="E29" s="12" t="str">
        <x:v>CODEX_IMPORT_PLAN</x:v>
      </x:c>
      <x:c r="F29" s="12" t="str">
        <x:v>Codex Import Plan</x:v>
      </x:c>
      <x:c r="G29" s="12" t="str">
        <x:v>ozmosis_b1_m08_orders_delivery_full_staged_pipeline_output_v0_1.md; ozmosis_b1_m08_orders_delivery_spoke_v0_1.md</x:v>
      </x:c>
      <x:c r="H29" s="12" t="str">
        <x:v>ozmosis_b1_m08_orders_delivery_codex_import_plan_v0_1.md</x:v>
      </x:c>
      <x:c r="I29" s="12" t="str">
        <x:v>BLOCKED_BY_SOURCE_GAP; ROW_INTEGRITY_BLOCKER; BLOCKED_BY_CONTENT_SAFETY; BLOCKED_BY_SCHEMA_DECISION</x:v>
      </x:c>
      <x:c r="J29" s="12" t="str">
        <x:v>Title: Ozmosis B1-08 — Codex Import Plan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Codex import plan for adding B1-08 — Orders / delivery to the Ozmosis app line.
This is import planning only.
Do not write the Codex implementation prompt yet.
INPUTS
- Schema mapping: `ozmosis_b1_m08_orders_delivery_schema_mapping_v0_1.md`
- Final inventory: `ozmosis_b1_m08_orders_delivery_final_inventory_v0_1.md`
- QA-approved file: `ozmosis_b1_m08_orders_delivery_phase3a_qa_approved_v0_1.md`
- Module staged output: `ozmosis_b1_m08_orders_delivery_full_staged_pipeline_output_v0_1.md`
- Current app package/source brief/roadmap.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VERSION DECISION
Recommend a version label. Starting suggestion for sequential module import:
`v0.80.11 — B1-08 Orders / delivery`
Do not call this v0.81 unless explicitly instructed. v0.81 remains separate unless the user supersedes that roadmap.
IMPORT-PLAN REQUIREMENTS
Tell Codex exactly:
- what app files to inspect before editing;
- where module content likely lives;
- how to preserve static-app architecture;
- how to preserve localStorage/export/import;
- how to register the module route/content safely;
- whether the module enters Today’s Sprint or Diagnostic Sprint immediately;
- what counts to validate;
- what records must be imported/excluded;
- what tests to run;
- what docs/changelog to create.
ARCHITECTURE RULES
No backend, no framework, no build step, no runtime generation, no dependencies, no storage-key renaming, no app redesign.
OUTPUT STRUCTURE
1. Source Verification
2. Executive Import Plan Verdict
3. Version Recommendation
4. Current App Architecture Assumptions To Verify
5. Import Strategy Decision
6. Import Scope
7. Content Records To Import
8. Records To Exclude
9. Mapping Decisions For Codex
10. Data Shape Requirements
11. Evidence / Review Safety Requirements
12. Route / Sampling Plan
13. Test Plan For Implementation Prompt
14. Documentation / Changelog Plan
15. Implementation Prompt Readiness Checklist
16. Final Verdict
FINAL VERDICT
Use exactly one:
- READY_FOR_B1_08_CODEX_IMPLEMENTATION_PROMPT
- IMPORT_PLAN_READY_WITH_DECISIONS
- IMPORT_PLAN_NEEDS_REVISION
- BLOCKED_BY_SOURCE_GAP
SAVE OUTPUT AS
`ozmosis_b1_m08_orders_delivery_codex_import_plan_v0_1.md`
End with:
- final verdict
- exact next recommended action.</x:v>
      </x:c>
    </x:row>
    <x:row r="30" ht="90" customHeight="1">
      <x:c r="A30" s="12" t="n">
        <x:v>29</x:v>
      </x:c>
      <x:c r="B30" s="12" t="str">
        <x:v>YES</x:v>
      </x:c>
      <x:c r="C30" s="12" t="str">
        <x:v>B1-09</x:v>
      </x:c>
      <x:c r="D30" s="12" t="str">
        <x:v>Complaints / customer service</x:v>
      </x:c>
      <x:c r="E30" s="12" t="str">
        <x:v>QA_REJECT_REVISE</x:v>
      </x:c>
      <x:c r="F30" s="12" t="str">
        <x:v>QA / Reject / Revise</x:v>
      </x:c>
      <x:c r="G30" s="12" t="str">
        <x:v>ozmosis_b1_m09_complaints_customer_service_full_staged_pipeline_output_v0_1.md; ozmosis_b1_m09_complaints_customer_service_spoke_v0_1.md</x:v>
      </x:c>
      <x:c r="H30" s="12" t="str">
        <x:v>ozmosis_b1_m09_complaints_customer_service_phase3a_qa_approved_v0_1.md</x:v>
      </x:c>
      <x:c r="I30" s="12" t="str">
        <x:v>BLOCKED_BY_SOURCE_GAP; ROW_INTEGRITY_BLOCKER; BLOCKED_BY_CONTENT_SAFETY; BLOCKED_BY_SCHEMA_DECISION</x:v>
      </x:c>
      <x:c r="J30" s="12" t="str">
        <x:v>Title: Ozmosis B1-09 — Module-Specific QA / Reject / Revise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Audit, reject, revise, and approve the staged draft batch for B1-09 — Complaints / customer service.
INPUTS
- Module full staged output: `ozmosis_b1_m09_complaints_customer_service_full_staged_pipeline_output_v0_1.md`
- Module spoke: `ozmosis_b1_m09_complaints_customer_service_spoke_v0_1.md`
- Pipeline master report: `ozmosis_b1_m02_m12_full_staged_content_pipeline_run_master_report_v0_1.md`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EXPECTED INTAKE
- moduleId: B1-09
- moduleTitle: Complaints / customer service
- internalPlanningId: `b1_m09_complaints_customer_service`
- moduleSlug: `complaints-customer-service`
- staged draft item count from pipeline output: 20
QA PRESSURE
Check every draft item for:
- natural Hochdeutsch;
- module-scope fit;
- no drift into adjacent modules;
- single-target safety;
- accepted-answer clarity;
- cue/person alignment;
- no hidden case/article/adjective/connector target unless explicitly owned;
- evidence strength matching support level;
- production marked self-marked only;
- mobile bus-ride suitability;
- source/copyright safety.
OUTPUT STRUCTURE
1. Source Verification
2. Intake Count Check
3. Batch-Level QA Summary
4. Issue Summary
5. Item-by-Item QA Table
6. Revised Approved Item Ledger
7. Cut / Deferred / Human-Check Ledger
8. Evidence and Review Safety Ledger
9. SupportPolicy / SupportPresentation Notes
10. Cue / Translation Safety Check
11. Mobile UX Check
12. Final Clean QA Inventory
13. Row-Reconciliation Handoff Counts
14. Final QA Checklist
15. Final Verdict
DECISION LABELS
Use exactly one per item:
- approve_as_is
- revise_and_approve
- cut
- defer
- needs_human_tutor_check
FINAL VERDICT
Use exactly one:
- READY_FOR_B1_09_ROW_RECONCILIATION
- READY_FOR_B1_09_QA_REVISION
- BLOCKED_BY_SOURCE_GAP
- BLOCKED_BY_CONTENT_SAFETY
SAVE OUTPUT AS
`ozmosis_b1_m09_complaints_customer_service_phase3a_qa_approved_v0_1.md`
End with:
- final verdict
- exact next recommended action.</x:v>
      </x:c>
    </x:row>
    <x:row r="31" ht="90" customHeight="1">
      <x:c r="A31" s="12" t="n">
        <x:v>30</x:v>
      </x:c>
      <x:c r="B31" s="12" t="str">
        <x:v>YES</x:v>
      </x:c>
      <x:c r="C31" s="12" t="str">
        <x:v>B1-09</x:v>
      </x:c>
      <x:c r="D31" s="12" t="str">
        <x:v>Complaints / customer service</x:v>
      </x:c>
      <x:c r="E31" s="12" t="str">
        <x:v>ROW_RECONCILIATION</x:v>
      </x:c>
      <x:c r="F31" s="12" t="str">
        <x:v>Row Reconciliation / Final Inventory</x:v>
      </x:c>
      <x:c r="G31" s="12" t="str">
        <x:v>ozmosis_b1_m09_complaints_customer_service_full_staged_pipeline_output_v0_1.md; ozmosis_b1_m09_complaints_customer_service_spoke_v0_1.md</x:v>
      </x:c>
      <x:c r="H31" s="12" t="str">
        <x:v>ozmosis_b1_m09_complaints_customer_service_final_inventory_v0_1.md</x:v>
      </x:c>
      <x:c r="I31" s="12" t="str">
        <x:v>BLOCKED_BY_SOURCE_GAP; ROW_INTEGRITY_BLOCKER; BLOCKED_BY_CONTENT_SAFETY; BLOCKED_BY_SCHEMA_DECISION</x:v>
      </x:c>
      <x:c r="J31" s="12" t="str">
        <x:v>Title: Ozmosis B1-09 — Row Reconciliation / Final Inventory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row reconciliation and final inventory for B1-09 — Complaints / customer service after module-specific QA.
INPUTS
- QA-approved file: `ozmosis_b1_m09_complaints_customer_service_phase3a_qa_approved_v0_1.md`
- Original staged output: `ozmosis_b1_m09_complaints_customer_service_full_staged_pipeline_output_v0_1.md`
- Module spoke: `ozmosis_b1_m09_complaints_customer_service_spoke_v0_1.md`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RECONCILIATION RULE
expected count = actual rows + documented cuts + documented exclusions + documented deferrals + documented source discrepancies
No silent row loss.
REQUIRED CHECKS
- Draft item count from staged output: 20
- QA approved/revised count
- QA cut count
- QA deferred count
- human/tutor-check count
- notice/concept count
- production/self-marked count
- variant-family candidate count
- single retained item count
- final clean proceeding count
OUTPUT STRUCTURE
1. Source Verification
2. Executive Reconciliation Verdict
3. Intake Count Chain
4. QA Survivor Ledger
5. Cut / Deferred / Human-Check Ledger
6. Notice / Concept Card Ledger
7. Self-Marked Production Ledger
8. Variant-Family Candidate Ledger
9. Single Retained Item Ledger
10. Final Inventory Table
11. Row Discrepancy Ledger
12. Evidence Inflation Safeguards
13. Schema-Mapping Handoff
14. Final Checklist
15. Final Verdict
FINAL VERDICT
Use exactly one:
- READY_FOR_B1_09_SCHEMA_MAPPING
- READY_FOR_B1_09_INVENTORY_REVISION
- ROW_INTEGRITY_BLOCKER
- BLOCKED_BY_SOURCE_GAP
SAVE OUTPUT AS
`ozmosis_b1_m09_complaints_customer_service_final_inventory_v0_1.md`
End with:
- final verdict
- exact next recommended action.</x:v>
      </x:c>
    </x:row>
    <x:row r="32" ht="90" customHeight="1">
      <x:c r="A32" s="12" t="n">
        <x:v>31</x:v>
      </x:c>
      <x:c r="B32" s="12" t="str">
        <x:v>YES</x:v>
      </x:c>
      <x:c r="C32" s="12" t="str">
        <x:v>B1-09</x:v>
      </x:c>
      <x:c r="D32" s="12" t="str">
        <x:v>Complaints / customer service</x:v>
      </x:c>
      <x:c r="E32" s="12" t="str">
        <x:v>SCHEMA_MAPPING</x:v>
      </x:c>
      <x:c r="F32" s="12" t="str">
        <x:v>Schema Mapping</x:v>
      </x:c>
      <x:c r="G32" s="12" t="str">
        <x:v>ozmosis_b1_m09_complaints_customer_service_full_staged_pipeline_output_v0_1.md; ozmosis_b1_m09_complaints_customer_service_spoke_v0_1.md</x:v>
      </x:c>
      <x:c r="H32" s="12" t="str">
        <x:v>ozmosis_b1_m09_complaints_customer_service_schema_mapping_v0_1.md</x:v>
      </x:c>
      <x:c r="I32" s="12" t="str">
        <x:v>BLOCKED_BY_SOURCE_GAP; ROW_INTEGRITY_BLOCKER; BLOCKED_BY_CONTENT_SAFETY; BLOCKED_BY_SCHEMA_DECISION</x:v>
      </x:c>
      <x:c r="J32" s="12" t="str">
        <x:v>Title: Ozmosis B1-09 — Schema Mapping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schema mapping for the final inventory of B1-09 — Complaints / customer service.
INPUTS
- Final inventory: `ozmosis_b1_m09_complaints_customer_service_final_inventory_v0_1.md`
- QA-approved file: `ozmosis_b1_m09_complaints_customer_service_phase3a_qa_approved_v0_1.md`
- Module spoke: `ozmosis_b1_m09_complaints_customer_service_spoke_v0_1.md`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MODULE LOCK
Use:
- displayModuleId: B1-09
- moduleKey: b1-09
- internalPlanningId: `b1_m09_complaints_customer_service`
- moduleSlug: `complaints-customer-service`
- moduleTitle: `Complaints / customer service`
- levelTrack: B1
- cefrTarget: B1
MAPPING REQUIREMENTS
Map all clean survivor items and variant families into schema-planning metadata.
Include:
- source item ID
- targetFamilyId
- targetId
- taskType
- taskDepth
- answerMode
- answerShape
- correctnessPolicy
- acceptedAnswerPolicy
- canonicalAnswer
- acceptedAnswers
- evidenceType
- supportPolicy
- supportPresentation
- reviewEligibilityDefault
- reviewGroup
- siblingVariantGroup if relevant
- production self-marking safeguards
- source/copyright safety note
- learner-facing allowed flag
Do not output app-ready JSON. This is schema-planning only.
OUTPUT STRUCTURE
1. Source Verification
2. Schema Mapping Intake Check
3. Mapping Assumptions
4. Target-Family Mapping Summary
5. Item Mapping Summary
6. Variant-Family Mapping, if any
7. Full Item-by-Item Metadata Mapping
8. Evidence / Review Integrity Ledger
9. SupportPolicy / SupportPresentation Ledger
10. Cue / Translation Alignment Ledger
11. Fallback / Capitalisation / Ambiguity Ledger
12. Cut / Exclusion Schema Ledger
13. Import-Planning Caveats
14. Final QA Checklist
15. Final Verdict
FINAL VERDICT
Use exactly one:
- READY_FOR_B1_09_IMPORT_PLAN
- READY_FOR_B1_09_SCHEMA_REVISION
- BLOCKED_BY_SCHEMA_DECISION
- ROW_INTEGRITY_BLOCKER
- BLOCKED_BY_SOURCE_GAP
SAVE OUTPUT AS
`ozmosis_b1_m09_complaints_customer_service_schema_mapping_v0_1.md`
End with:
- final verdict
- exact next recommended action.</x:v>
      </x:c>
    </x:row>
    <x:row r="33" ht="90" customHeight="1">
      <x:c r="A33" s="12" t="n">
        <x:v>32</x:v>
      </x:c>
      <x:c r="B33" s="12" t="str">
        <x:v>YES</x:v>
      </x:c>
      <x:c r="C33" s="12" t="str">
        <x:v>B1-09</x:v>
      </x:c>
      <x:c r="D33" s="12" t="str">
        <x:v>Complaints / customer service</x:v>
      </x:c>
      <x:c r="E33" s="12" t="str">
        <x:v>CODEX_IMPORT_PLAN</x:v>
      </x:c>
      <x:c r="F33" s="12" t="str">
        <x:v>Codex Import Plan</x:v>
      </x:c>
      <x:c r="G33" s="12" t="str">
        <x:v>ozmosis_b1_m09_complaints_customer_service_full_staged_pipeline_output_v0_1.md; ozmosis_b1_m09_complaints_customer_service_spoke_v0_1.md</x:v>
      </x:c>
      <x:c r="H33" s="12" t="str">
        <x:v>ozmosis_b1_m09_complaints_customer_service_codex_import_plan_v0_1.md</x:v>
      </x:c>
      <x:c r="I33" s="12" t="str">
        <x:v>BLOCKED_BY_SOURCE_GAP; ROW_INTEGRITY_BLOCKER; BLOCKED_BY_CONTENT_SAFETY; BLOCKED_BY_SCHEMA_DECISION</x:v>
      </x:c>
      <x:c r="J33" s="12" t="str">
        <x:v>Title: Ozmosis B1-09 — Codex Import Plan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Codex import plan for adding B1-09 — Complaints / customer service to the Ozmosis app line.
This is import planning only.
Do not write the Codex implementation prompt yet.
INPUTS
- Schema mapping: `ozmosis_b1_m09_complaints_customer_service_schema_mapping_v0_1.md`
- Final inventory: `ozmosis_b1_m09_complaints_customer_service_final_inventory_v0_1.md`
- QA-approved file: `ozmosis_b1_m09_complaints_customer_service_phase3a_qa_approved_v0_1.md`
- Module staged output: `ozmosis_b1_m09_complaints_customer_service_full_staged_pipeline_output_v0_1.md`
- Current app package/source brief/roadmap.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VERSION DECISION
Recommend a version label. Starting suggestion for sequential module import:
`v0.80.12 — B1-09 Complaints / customer service`
Do not call this v0.81 unless explicitly instructed. v0.81 remains separate unless the user supersedes that roadmap.
IMPORT-PLAN REQUIREMENTS
Tell Codex exactly:
- what app files to inspect before editing;
- where module content likely lives;
- how to preserve static-app architecture;
- how to preserve localStorage/export/import;
- how to register the module route/content safely;
- whether the module enters Today’s Sprint or Diagnostic Sprint immediately;
- what counts to validate;
- what records must be imported/excluded;
- what tests to run;
- what docs/changelog to create.
ARCHITECTURE RULES
No backend, no framework, no build step, no runtime generation, no dependencies, no storage-key renaming, no app redesign.
OUTPUT STRUCTURE
1. Source Verification
2. Executive Import Plan Verdict
3. Version Recommendation
4. Current App Architecture Assumptions To Verify
5. Import Strategy Decision
6. Import Scope
7. Content Records To Import
8. Records To Exclude
9. Mapping Decisions For Codex
10. Data Shape Requirements
11. Evidence / Review Safety Requirements
12. Route / Sampling Plan
13. Test Plan For Implementation Prompt
14. Documentation / Changelog Plan
15. Implementation Prompt Readiness Checklist
16. Final Verdict
FINAL VERDICT
Use exactly one:
- READY_FOR_B1_09_CODEX_IMPLEMENTATION_PROMPT
- IMPORT_PLAN_READY_WITH_DECISIONS
- IMPORT_PLAN_NEEDS_REVISION
- BLOCKED_BY_SOURCE_GAP
SAVE OUTPUT AS
`ozmosis_b1_m09_complaints_customer_service_codex_import_plan_v0_1.md`
End with:
- final verdict
- exact next recommended action.</x:v>
      </x:c>
    </x:row>
    <x:row r="34" ht="90" customHeight="1">
      <x:c r="A34" s="12" t="n">
        <x:v>33</x:v>
      </x:c>
      <x:c r="B34" s="12" t="str">
        <x:v>YES</x:v>
      </x:c>
      <x:c r="C34" s="12" t="str">
        <x:v>B1-10</x:v>
      </x:c>
      <x:c r="D34" s="12" t="str">
        <x:v>Technical problems</x:v>
      </x:c>
      <x:c r="E34" s="12" t="str">
        <x:v>QA_REJECT_REVISE</x:v>
      </x:c>
      <x:c r="F34" s="12" t="str">
        <x:v>QA / Reject / Revise</x:v>
      </x:c>
      <x:c r="G34" s="12" t="str">
        <x:v>ozmosis_b1_m10_technical_problems_full_staged_pipeline_output_v0_1.md; ozmosis_b1_m10_technical_problems_spoke_v0_1.md</x:v>
      </x:c>
      <x:c r="H34" s="12" t="str">
        <x:v>ozmosis_b1_m10_technical_problems_phase3a_qa_approved_v0_1.md</x:v>
      </x:c>
      <x:c r="I34" s="12" t="str">
        <x:v>BLOCKED_BY_SOURCE_GAP; ROW_INTEGRITY_BLOCKER; BLOCKED_BY_CONTENT_SAFETY; BLOCKED_BY_SCHEMA_DECISION</x:v>
      </x:c>
      <x:c r="J34" s="12" t="str">
        <x:v>Title: Ozmosis B1-10 — Module-Specific QA / Reject / Revise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Audit, reject, revise, and approve the staged draft batch for B1-10 — Technical problems.
INPUTS
- Module full staged output: `ozmosis_b1_m10_technical_problems_full_staged_pipeline_output_v0_1.md`
- Module spoke: `ozmosis_b1_m10_technical_problems_spoke_v0_1.md`
- Pipeline master report: `ozmosis_b1_m02_m12_full_staged_content_pipeline_run_master_report_v0_1.md`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EXPECTED INTAKE
- moduleId: B1-10
- moduleTitle: Technical problems
- internalPlanningId: `b1_m10_technical_problems`
- moduleSlug: `technical-problems`
- staged draft item count from pipeline output: 20
QA PRESSURE
Check every draft item for:
- natural Hochdeutsch;
- module-scope fit;
- no drift into adjacent modules;
- single-target safety;
- accepted-answer clarity;
- cue/person alignment;
- no hidden case/article/adjective/connector target unless explicitly owned;
- evidence strength matching support level;
- production marked self-marked only;
- mobile bus-ride suitability;
- source/copyright safety.
OUTPUT STRUCTURE
1. Source Verification
2. Intake Count Check
3. Batch-Level QA Summary
4. Issue Summary
5. Item-by-Item QA Table
6. Revised Approved Item Ledger
7. Cut / Deferred / Human-Check Ledger
8. Evidence and Review Safety Ledger
9. SupportPolicy / SupportPresentation Notes
10. Cue / Translation Safety Check
11. Mobile UX Check
12. Final Clean QA Inventory
13. Row-Reconciliation Handoff Counts
14. Final QA Checklist
15. Final Verdict
DECISION LABELS
Use exactly one per item:
- approve_as_is
- revise_and_approve
- cut
- defer
- needs_human_tutor_check
FINAL VERDICT
Use exactly one:
- READY_FOR_B1_10_ROW_RECONCILIATION
- READY_FOR_B1_10_QA_REVISION
- BLOCKED_BY_SOURCE_GAP
- BLOCKED_BY_CONTENT_SAFETY
SAVE OUTPUT AS
`ozmosis_b1_m10_technical_problems_phase3a_qa_approved_v0_1.md`
End with:
- final verdict
- exact next recommended action.</x:v>
      </x:c>
    </x:row>
    <x:row r="35" ht="90" customHeight="1">
      <x:c r="A35" s="12" t="n">
        <x:v>34</x:v>
      </x:c>
      <x:c r="B35" s="12" t="str">
        <x:v>YES</x:v>
      </x:c>
      <x:c r="C35" s="12" t="str">
        <x:v>B1-10</x:v>
      </x:c>
      <x:c r="D35" s="12" t="str">
        <x:v>Technical problems</x:v>
      </x:c>
      <x:c r="E35" s="12" t="str">
        <x:v>ROW_RECONCILIATION</x:v>
      </x:c>
      <x:c r="F35" s="12" t="str">
        <x:v>Row Reconciliation / Final Inventory</x:v>
      </x:c>
      <x:c r="G35" s="12" t="str">
        <x:v>ozmosis_b1_m10_technical_problems_full_staged_pipeline_output_v0_1.md; ozmosis_b1_m10_technical_problems_spoke_v0_1.md</x:v>
      </x:c>
      <x:c r="H35" s="12" t="str">
        <x:v>ozmosis_b1_m10_technical_problems_final_inventory_v0_1.md</x:v>
      </x:c>
      <x:c r="I35" s="12" t="str">
        <x:v>BLOCKED_BY_SOURCE_GAP; ROW_INTEGRITY_BLOCKER; BLOCKED_BY_CONTENT_SAFETY; BLOCKED_BY_SCHEMA_DECISION</x:v>
      </x:c>
      <x:c r="J35" s="12" t="str">
        <x:v>Title: Ozmosis B1-10 — Row Reconciliation / Final Inventory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row reconciliation and final inventory for B1-10 — Technical problems after module-specific QA.
INPUTS
- QA-approved file: `ozmosis_b1_m10_technical_problems_phase3a_qa_approved_v0_1.md`
- Original staged output: `ozmosis_b1_m10_technical_problems_full_staged_pipeline_output_v0_1.md`
- Module spoke: `ozmosis_b1_m10_technical_problems_spoke_v0_1.md`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RECONCILIATION RULE
expected count = actual rows + documented cuts + documented exclusions + documented deferrals + documented source discrepancies
No silent row loss.
REQUIRED CHECKS
- Draft item count from staged output: 20
- QA approved/revised count
- QA cut count
- QA deferred count
- human/tutor-check count
- notice/concept count
- production/self-marked count
- variant-family candidate count
- single retained item count
- final clean proceeding count
OUTPUT STRUCTURE
1. Source Verification
2. Executive Reconciliation Verdict
3. Intake Count Chain
4. QA Survivor Ledger
5. Cut / Deferred / Human-Check Ledger
6. Notice / Concept Card Ledger
7. Self-Marked Production Ledger
8. Variant-Family Candidate Ledger
9. Single Retained Item Ledger
10. Final Inventory Table
11. Row Discrepancy Ledger
12. Evidence Inflation Safeguards
13. Schema-Mapping Handoff
14. Final Checklist
15. Final Verdict
FINAL VERDICT
Use exactly one:
- READY_FOR_B1_10_SCHEMA_MAPPING
- READY_FOR_B1_10_INVENTORY_REVISION
- ROW_INTEGRITY_BLOCKER
- BLOCKED_BY_SOURCE_GAP
SAVE OUTPUT AS
`ozmosis_b1_m10_technical_problems_final_inventory_v0_1.md`
End with:
- final verdict
- exact next recommended action.</x:v>
      </x:c>
    </x:row>
    <x:row r="36" ht="90" customHeight="1">
      <x:c r="A36" s="12" t="n">
        <x:v>35</x:v>
      </x:c>
      <x:c r="B36" s="12" t="str">
        <x:v>YES</x:v>
      </x:c>
      <x:c r="C36" s="12" t="str">
        <x:v>B1-10</x:v>
      </x:c>
      <x:c r="D36" s="12" t="str">
        <x:v>Technical problems</x:v>
      </x:c>
      <x:c r="E36" s="12" t="str">
        <x:v>SCHEMA_MAPPING</x:v>
      </x:c>
      <x:c r="F36" s="12" t="str">
        <x:v>Schema Mapping</x:v>
      </x:c>
      <x:c r="G36" s="12" t="str">
        <x:v>ozmosis_b1_m10_technical_problems_full_staged_pipeline_output_v0_1.md; ozmosis_b1_m10_technical_problems_spoke_v0_1.md</x:v>
      </x:c>
      <x:c r="H36" s="12" t="str">
        <x:v>ozmosis_b1_m10_technical_problems_schema_mapping_v0_1.md</x:v>
      </x:c>
      <x:c r="I36" s="12" t="str">
        <x:v>BLOCKED_BY_SOURCE_GAP; ROW_INTEGRITY_BLOCKER; BLOCKED_BY_CONTENT_SAFETY; BLOCKED_BY_SCHEMA_DECISION</x:v>
      </x:c>
      <x:c r="J36" s="12" t="str">
        <x:v>Title: Ozmosis B1-10 — Schema Mapping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schema mapping for the final inventory of B1-10 — Technical problems.
INPUTS
- Final inventory: `ozmosis_b1_m10_technical_problems_final_inventory_v0_1.md`
- QA-approved file: `ozmosis_b1_m10_technical_problems_phase3a_qa_approved_v0_1.md`
- Module spoke: `ozmosis_b1_m10_technical_problems_spoke_v0_1.md`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MODULE LOCK
Use:
- displayModuleId: B1-10
- moduleKey: b1-10
- internalPlanningId: `b1_m10_technical_problems`
- moduleSlug: `technical-problems`
- moduleTitle: `Technical problems`
- levelTrack: B1
- cefrTarget: B1
MAPPING REQUIREMENTS
Map all clean survivor items and variant families into schema-planning metadata.
Include:
- source item ID
- targetFamilyId
- targetId
- taskType
- taskDepth
- answerMode
- answerShape
- correctnessPolicy
- acceptedAnswerPolicy
- canonicalAnswer
- acceptedAnswers
- evidenceType
- supportPolicy
- supportPresentation
- reviewEligibilityDefault
- reviewGroup
- siblingVariantGroup if relevant
- production self-marking safeguards
- source/copyright safety note
- learner-facing allowed flag
Do not output app-ready JSON. This is schema-planning only.
OUTPUT STRUCTURE
1. Source Verification
2. Schema Mapping Intake Check
3. Mapping Assumptions
4. Target-Family Mapping Summary
5. Item Mapping Summary
6. Variant-Family Mapping, if any
7. Full Item-by-Item Metadata Mapping
8. Evidence / Review Integrity Ledger
9. SupportPolicy / SupportPresentation Ledger
10. Cue / Translation Alignment Ledger
11. Fallback / Capitalisation / Ambiguity Ledger
12. Cut / Exclusion Schema Ledger
13. Import-Planning Caveats
14. Final QA Checklist
15. Final Verdict
FINAL VERDICT
Use exactly one:
- READY_FOR_B1_10_IMPORT_PLAN
- READY_FOR_B1_10_SCHEMA_REVISION
- BLOCKED_BY_SCHEMA_DECISION
- ROW_INTEGRITY_BLOCKER
- BLOCKED_BY_SOURCE_GAP
SAVE OUTPUT AS
`ozmosis_b1_m10_technical_problems_schema_mapping_v0_1.md`
End with:
- final verdict
- exact next recommended action.</x:v>
      </x:c>
    </x:row>
    <x:row r="37" ht="90" customHeight="1">
      <x:c r="A37" s="12" t="n">
        <x:v>36</x:v>
      </x:c>
      <x:c r="B37" s="12" t="str">
        <x:v>YES</x:v>
      </x:c>
      <x:c r="C37" s="12" t="str">
        <x:v>B1-10</x:v>
      </x:c>
      <x:c r="D37" s="12" t="str">
        <x:v>Technical problems</x:v>
      </x:c>
      <x:c r="E37" s="12" t="str">
        <x:v>CODEX_IMPORT_PLAN</x:v>
      </x:c>
      <x:c r="F37" s="12" t="str">
        <x:v>Codex Import Plan</x:v>
      </x:c>
      <x:c r="G37" s="12" t="str">
        <x:v>ozmosis_b1_m10_technical_problems_full_staged_pipeline_output_v0_1.md; ozmosis_b1_m10_technical_problems_spoke_v0_1.md</x:v>
      </x:c>
      <x:c r="H37" s="12" t="str">
        <x:v>ozmosis_b1_m10_technical_problems_codex_import_plan_v0_1.md</x:v>
      </x:c>
      <x:c r="I37" s="12" t="str">
        <x:v>BLOCKED_BY_SOURCE_GAP; ROW_INTEGRITY_BLOCKER; BLOCKED_BY_CONTENT_SAFETY; BLOCKED_BY_SCHEMA_DECISION</x:v>
      </x:c>
      <x:c r="J37" s="12" t="str">
        <x:v>Title: Ozmosis B1-10 — Codex Import Plan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Codex import plan for adding B1-10 — Technical problems to the Ozmosis app line.
This is import planning only.
Do not write the Codex implementation prompt yet.
INPUTS
- Schema mapping: `ozmosis_b1_m10_technical_problems_schema_mapping_v0_1.md`
- Final inventory: `ozmosis_b1_m10_technical_problems_final_inventory_v0_1.md`
- QA-approved file: `ozmosis_b1_m10_technical_problems_phase3a_qa_approved_v0_1.md`
- Module staged output: `ozmosis_b1_m10_technical_problems_full_staged_pipeline_output_v0_1.md`
- Current app package/source brief/roadmap.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VERSION DECISION
Recommend a version label. Starting suggestion for sequential module import:
`v0.80.13 — B1-10 Technical problems`
Do not call this v0.81 unless explicitly instructed. v0.81 remains separate unless the user supersedes that roadmap.
IMPORT-PLAN REQUIREMENTS
Tell Codex exactly:
- what app files to inspect before editing;
- where module content likely lives;
- how to preserve static-app architecture;
- how to preserve localStorage/export/import;
- how to register the module route/content safely;
- whether the module enters Today’s Sprint or Diagnostic Sprint immediately;
- what counts to validate;
- what records must be imported/excluded;
- what tests to run;
- what docs/changelog to create.
ARCHITECTURE RULES
No backend, no framework, no build step, no runtime generation, no dependencies, no storage-key renaming, no app redesign.
OUTPUT STRUCTURE
1. Source Verification
2. Executive Import Plan Verdict
3. Version Recommendation
4. Current App Architecture Assumptions To Verify
5. Import Strategy Decision
6. Import Scope
7. Content Records To Import
8. Records To Exclude
9. Mapping Decisions For Codex
10. Data Shape Requirements
11. Evidence / Review Safety Requirements
12. Route / Sampling Plan
13. Test Plan For Implementation Prompt
14. Documentation / Changelog Plan
15. Implementation Prompt Readiness Checklist
16. Final Verdict
FINAL VERDICT
Use exactly one:
- READY_FOR_B1_10_CODEX_IMPLEMENTATION_PROMPT
- IMPORT_PLAN_READY_WITH_DECISIONS
- IMPORT_PLAN_NEEDS_REVISION
- BLOCKED_BY_SOURCE_GAP
SAVE OUTPUT AS
`ozmosis_b1_m10_technical_problems_codex_import_plan_v0_1.md`
End with:
- final verdict
- exact next recommended action.</x:v>
      </x:c>
    </x:row>
    <x:row r="38" ht="90" customHeight="1">
      <x:c r="A38" s="12" t="n">
        <x:v>37</x:v>
      </x:c>
      <x:c r="B38" s="12" t="str">
        <x:v>YES</x:v>
      </x:c>
      <x:c r="C38" s="12" t="str">
        <x:v>B1-11</x:v>
      </x:c>
      <x:c r="D38" s="12" t="str">
        <x:v>Colleague feedback / conflict</x:v>
      </x:c>
      <x:c r="E38" s="12" t="str">
        <x:v>QA_REJECT_REVISE</x:v>
      </x:c>
      <x:c r="F38" s="12" t="str">
        <x:v>QA / Reject / Revise</x:v>
      </x:c>
      <x:c r="G38" s="12" t="str">
        <x:v>ozmosis_b1_m11_colleague_feedback_conflict_full_staged_pipeline_output_v0_1.md; ozmosis_b1_m11_colleague_feedback_conflict_spoke_v0_1.md</x:v>
      </x:c>
      <x:c r="H38" s="12" t="str">
        <x:v>ozmosis_b1_m11_colleague_feedback_conflict_phase3a_qa_approved_v0_1.md</x:v>
      </x:c>
      <x:c r="I38" s="12" t="str">
        <x:v>BLOCKED_BY_SOURCE_GAP; ROW_INTEGRITY_BLOCKER; BLOCKED_BY_CONTENT_SAFETY; BLOCKED_BY_SCHEMA_DECISION</x:v>
      </x:c>
      <x:c r="J38" s="12" t="str">
        <x:v>Title: Ozmosis B1-11 — Module-Specific QA / Reject / Revise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Audit, reject, revise, and approve the staged draft batch for B1-11 — Colleague feedback / conflict.
INPUTS
- Module full staged output: `ozmosis_b1_m11_colleague_feedback_conflict_full_staged_pipeline_output_v0_1.md`
- Module spoke: `ozmosis_b1_m11_colleague_feedback_conflict_spoke_v0_1.md`
- Pipeline master report: `ozmosis_b1_m02_m12_full_staged_content_pipeline_run_master_report_v0_1.md`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EXPECTED INTAKE
- moduleId: B1-11
- moduleTitle: Colleague feedback / conflict
- internalPlanningId: `b1_m11_colleague_feedback_conflict`
- moduleSlug: `colleague-feedback-conflict`
- staged draft item count from pipeline output: 18
QA PRESSURE
Check every draft item for:
- natural Hochdeutsch;
- module-scope fit;
- no drift into adjacent modules;
- single-target safety;
- accepted-answer clarity;
- cue/person alignment;
- no hidden case/article/adjective/connector target unless explicitly owned;
- evidence strength matching support level;
- production marked self-marked only;
- mobile bus-ride suitability;
- source/copyright safety.
OUTPUT STRUCTURE
1. Source Verification
2. Intake Count Check
3. Batch-Level QA Summary
4. Issue Summary
5. Item-by-Item QA Table
6. Revised Approved Item Ledger
7. Cut / Deferred / Human-Check Ledger
8. Evidence and Review Safety Ledger
9. SupportPolicy / SupportPresentation Notes
10. Cue / Translation Safety Check
11. Mobile UX Check
12. Final Clean QA Inventory
13. Row-Reconciliation Handoff Counts
14. Final QA Checklist
15. Final Verdict
DECISION LABELS
Use exactly one per item:
- approve_as_is
- revise_and_approve
- cut
- defer
- needs_human_tutor_check
FINAL VERDICT
Use exactly one:
- READY_FOR_B1_11_ROW_RECONCILIATION
- READY_FOR_B1_11_QA_REVISION
- BLOCKED_BY_SOURCE_GAP
- BLOCKED_BY_CONTENT_SAFETY
SAVE OUTPUT AS
`ozmosis_b1_m11_colleague_feedback_conflict_phase3a_qa_approved_v0_1.md`
End with:
- final verdict
- exact next recommended action.</x:v>
      </x:c>
    </x:row>
    <x:row r="39" ht="90" customHeight="1">
      <x:c r="A39" s="12" t="n">
        <x:v>38</x:v>
      </x:c>
      <x:c r="B39" s="12" t="str">
        <x:v>YES</x:v>
      </x:c>
      <x:c r="C39" s="12" t="str">
        <x:v>B1-11</x:v>
      </x:c>
      <x:c r="D39" s="12" t="str">
        <x:v>Colleague feedback / conflict</x:v>
      </x:c>
      <x:c r="E39" s="12" t="str">
        <x:v>ROW_RECONCILIATION</x:v>
      </x:c>
      <x:c r="F39" s="12" t="str">
        <x:v>Row Reconciliation / Final Inventory</x:v>
      </x:c>
      <x:c r="G39" s="12" t="str">
        <x:v>ozmosis_b1_m11_colleague_feedback_conflict_full_staged_pipeline_output_v0_1.md; ozmosis_b1_m11_colleague_feedback_conflict_spoke_v0_1.md</x:v>
      </x:c>
      <x:c r="H39" s="12" t="str">
        <x:v>ozmosis_b1_m11_colleague_feedback_conflict_final_inventory_v0_1.md</x:v>
      </x:c>
      <x:c r="I39" s="12" t="str">
        <x:v>BLOCKED_BY_SOURCE_GAP; ROW_INTEGRITY_BLOCKER; BLOCKED_BY_CONTENT_SAFETY; BLOCKED_BY_SCHEMA_DECISION</x:v>
      </x:c>
      <x:c r="J39" s="12" t="str">
        <x:v>Title: Ozmosis B1-11 — Row Reconciliation / Final Inventory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row reconciliation and final inventory for B1-11 — Colleague feedback / conflict after module-specific QA.
INPUTS
- QA-approved file: `ozmosis_b1_m11_colleague_feedback_conflict_phase3a_qa_approved_v0_1.md`
- Original staged output: `ozmosis_b1_m11_colleague_feedback_conflict_full_staged_pipeline_output_v0_1.md`
- Module spoke: `ozmosis_b1_m11_colleague_feedback_conflict_spoke_v0_1.md`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RECONCILIATION RULE
expected count = actual rows + documented cuts + documented exclusions + documented deferrals + documented source discrepancies
No silent row loss.
REQUIRED CHECKS
- Draft item count from staged output: 18
- QA approved/revised count
- QA cut count
- QA deferred count
- human/tutor-check count
- notice/concept count
- production/self-marked count
- variant-family candidate count
- single retained item count
- final clean proceeding count
OUTPUT STRUCTURE
1. Source Verification
2. Executive Reconciliation Verdict
3. Intake Count Chain
4. QA Survivor Ledger
5. Cut / Deferred / Human-Check Ledger
6. Notice / Concept Card Ledger
7. Self-Marked Production Ledger
8. Variant-Family Candidate Ledger
9. Single Retained Item Ledger
10. Final Inventory Table
11. Row Discrepancy Ledger
12. Evidence Inflation Safeguards
13. Schema-Mapping Handoff
14. Final Checklist
15. Final Verdict
FINAL VERDICT
Use exactly one:
- READY_FOR_B1_11_SCHEMA_MAPPING
- READY_FOR_B1_11_INVENTORY_REVISION
- ROW_INTEGRITY_BLOCKER
- BLOCKED_BY_SOURCE_GAP
SAVE OUTPUT AS
`ozmosis_b1_m11_colleague_feedback_conflict_final_inventory_v0_1.md`
End with:
- final verdict
- exact next recommended action.</x:v>
      </x:c>
    </x:row>
    <x:row r="40" ht="90" customHeight="1">
      <x:c r="A40" s="12" t="n">
        <x:v>39</x:v>
      </x:c>
      <x:c r="B40" s="12" t="str">
        <x:v>YES</x:v>
      </x:c>
      <x:c r="C40" s="12" t="str">
        <x:v>B1-11</x:v>
      </x:c>
      <x:c r="D40" s="12" t="str">
        <x:v>Colleague feedback / conflict</x:v>
      </x:c>
      <x:c r="E40" s="12" t="str">
        <x:v>SCHEMA_MAPPING</x:v>
      </x:c>
      <x:c r="F40" s="12" t="str">
        <x:v>Schema Mapping</x:v>
      </x:c>
      <x:c r="G40" s="12" t="str">
        <x:v>ozmosis_b1_m11_colleague_feedback_conflict_full_staged_pipeline_output_v0_1.md; ozmosis_b1_m11_colleague_feedback_conflict_spoke_v0_1.md</x:v>
      </x:c>
      <x:c r="H40" s="12" t="str">
        <x:v>ozmosis_b1_m11_colleague_feedback_conflict_schema_mapping_v0_1.md</x:v>
      </x:c>
      <x:c r="I40" s="12" t="str">
        <x:v>BLOCKED_BY_SOURCE_GAP; ROW_INTEGRITY_BLOCKER; BLOCKED_BY_CONTENT_SAFETY; BLOCKED_BY_SCHEMA_DECISION</x:v>
      </x:c>
      <x:c r="J40" s="12" t="str">
        <x:v>Title: Ozmosis B1-11 — Schema Mapping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schema mapping for the final inventory of B1-11 — Colleague feedback / conflict.
INPUTS
- Final inventory: `ozmosis_b1_m11_colleague_feedback_conflict_final_inventory_v0_1.md`
- QA-approved file: `ozmosis_b1_m11_colleague_feedback_conflict_phase3a_qa_approved_v0_1.md`
- Module spoke: `ozmosis_b1_m11_colleague_feedback_conflict_spoke_v0_1.md`
- Pipeline core and cross-spoke audit.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MODULE LOCK
Use:
- displayModuleId: B1-11
- moduleKey: b1-11
- internalPlanningId: `b1_m11_colleague_feedback_conflict`
- moduleSlug: `colleague-feedback-conflict`
- moduleTitle: `Colleague feedback / conflict`
- levelTrack: B1
- cefrTarget: B1
MAPPING REQUIREMENTS
Map all clean survivor items and variant families into schema-planning metadata.
Include:
- source item ID
- targetFamilyId
- targetId
- taskType
- taskDepth
- answerMode
- answerShape
- correctnessPolicy
- acceptedAnswerPolicy
- canonicalAnswer
- acceptedAnswers
- evidenceType
- supportPolicy
- supportPresentation
- reviewEligibilityDefault
- reviewGroup
- siblingVariantGroup if relevant
- production self-marking safeguards
- source/copyright safety note
- learner-facing allowed flag
Do not output app-ready JSON. This is schema-planning only.
OUTPUT STRUCTURE
1. Source Verification
2. Schema Mapping Intake Check
3. Mapping Assumptions
4. Target-Family Mapping Summary
5. Item Mapping Summary
6. Variant-Family Mapping, if any
7. Full Item-by-Item Metadata Mapping
8. Evidence / Review Integrity Ledger
9. SupportPolicy / SupportPresentation Ledger
10. Cue / Translation Alignment Ledger
11. Fallback / Capitalisation / Ambiguity Ledger
12. Cut / Exclusion Schema Ledger
13. Import-Planning Caveats
14. Final QA Checklist
15. Final Verdict
FINAL VERDICT
Use exactly one:
- READY_FOR_B1_11_IMPORT_PLAN
- READY_FOR_B1_11_SCHEMA_REVISION
- BLOCKED_BY_SCHEMA_DECISION
- ROW_INTEGRITY_BLOCKER
- BLOCKED_BY_SOURCE_GAP
SAVE OUTPUT AS
`ozmosis_b1_m11_colleague_feedback_conflict_schema_mapping_v0_1.md`
End with:
- final verdict
- exact next recommended action.</x:v>
      </x:c>
    </x:row>
    <x:row r="41" ht="90" customHeight="1">
      <x:c r="A41" s="12" t="n">
        <x:v>40</x:v>
      </x:c>
      <x:c r="B41" s="12" t="str">
        <x:v>YES</x:v>
      </x:c>
      <x:c r="C41" s="12" t="str">
        <x:v>B1-11</x:v>
      </x:c>
      <x:c r="D41" s="12" t="str">
        <x:v>Colleague feedback / conflict</x:v>
      </x:c>
      <x:c r="E41" s="12" t="str">
        <x:v>CODEX_IMPORT_PLAN</x:v>
      </x:c>
      <x:c r="F41" s="12" t="str">
        <x:v>Codex Import Plan</x:v>
      </x:c>
      <x:c r="G41" s="12" t="str">
        <x:v>ozmosis_b1_m11_colleague_feedback_conflict_full_staged_pipeline_output_v0_1.md; ozmosis_b1_m11_colleague_feedback_conflict_spoke_v0_1.md</x:v>
      </x:c>
      <x:c r="H41" s="12" t="str">
        <x:v>ozmosis_b1_m11_colleague_feedback_conflict_codex_import_plan_v0_1.md</x:v>
      </x:c>
      <x:c r="I41" s="12" t="str">
        <x:v>BLOCKED_BY_SOURCE_GAP; ROW_INTEGRITY_BLOCKER; BLOCKED_BY_CONTENT_SAFETY; BLOCKED_BY_SCHEMA_DECISION</x:v>
      </x:c>
      <x:c r="J41" s="12" t="str">
        <x:v>Title: Ozmosis B1-11 — Codex Import Plan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Create the Codex import plan for adding B1-11 — Colleague feedback / conflict to the Ozmosis app line.
This is import planning only.
Do not write the Codex implementation prompt yet.
INPUTS
- Schema mapping: `ozmosis_b1_m11_colleague_feedback_conflict_schema_mapping_v0_1.md`
- Final inventory: `ozmosis_b1_m11_colleague_feedback_conflict_final_inventory_v0_1.md`
- QA-approved file: `ozmosis_b1_m11_colleague_feedback_conflict_phase3a_qa_approved_v0_1.md`
- Module staged output: `ozmosis_b1_m11_colleague_feedback_conflict_full_staged_pipeline_output_v0_1.md`
- Current app package/source brief/roadmap.
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
VERSION DECISION
Recommend a version label. Starting suggestion for sequential module import:
`v0.80.14 — B1-11 Colleague feedback / conflict`
Do not call this v0.81 unless explicitly instructed. v0.81 remains separate unless the user supersedes that roadmap.
IMPORT-PLAN REQUIREMENTS
Tell Codex exactly:
- what app files to inspect before editing;
- where module content likely lives;
- how to preserve static-app architecture;
- how to preserve localStorage/export/import;
- how to register the module route/content safely;
- whether the module enters Today’s Sprint or Diagnostic Sprint immediately;
- what counts to validate;
- what records must be imported/excluded;
- what tests to run;
- what docs/changelog to create.
ARCHITECTURE RULES
No backend, no framework, no build step, no runtime generation, no dependencies, no storage-key renaming, no app redesign.
OUTPUT STRUCTURE
1. Source Verification
2. Executive Import Plan Verdict
3. Version Recommendation
4. Current App Architecture Assumptions To Verify
5. Import Strategy Decision
6. Import Scope
7. Content Records To Import
8. Records To Exclude
9. Mapping Decisions For Codex
10. Data Shape Requirements
11. Evidence / Review Safety Requirements
12. Route / Sampling Plan
13. Test Plan For Implementation Prompt
14. Documentation / Changelog Plan
15. Implementation Prompt Readiness Checklist
16. Final Verdict
FINAL VERDICT
Use exactly one:
- READY_FOR_B1_11_CODEX_IMPLEMENTATION_PROMPT
- IMPORT_PLAN_READY_WITH_DECISIONS
- IMPORT_PLAN_NEEDS_REVISION
- BLOCKED_BY_SOURCE_GAP
SAVE OUTPUT AS
`ozmosis_b1_m11_colleague_feedback_conflict_codex_import_plan_v0_1.md`
End with:
- final verdict
- exact next recommended action.</x:v>
      </x:c>
    </x:row>
    <x:row r="42" ht="90" customHeight="1">
      <x:c r="A42" s="12" t="n">
        <x:v>41</x:v>
      </x:c>
      <x:c r="B42" s="12" t="str">
        <x:v>YES</x:v>
      </x:c>
      <x:c r="C42" s="12" t="str">
        <x:v>B1-12</x:v>
      </x:c>
      <x:c r="D42" s="12" t="str">
        <x:v>B1 review / consolidation</x:v>
      </x:c>
      <x:c r="E42" s="12" t="str">
        <x:v>DEFERRED_REVIEW_UPDATE</x:v>
      </x:c>
      <x:c r="F42" s="12" t="str">
        <x:v>Deferred review planning update</x:v>
      </x:c>
      <x:c r="G42" s="12" t="str">
        <x:v>ozmosis_b1_m12_b1_review_consolidation_deferred_planning_layer_v0_1.md</x:v>
      </x:c>
      <x:c r="H42" s="12" t="str">
        <x:v>ozmosis_b1_m12_b1_review_consolidation_deferred_planning_update_v0_1.md</x:v>
      </x:c>
      <x:c r="I42" s="12" t="str">
        <x:v>BLOCKED_BY_SOURCE_GAP</x:v>
      </x:c>
      <x:c r="J42" s="12" t="str">
        <x:v>Title: Ozmosis B1-12 — Deferred Review / Consolidation Planning Update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Update the B1-12 deferred review/consolidation planning layer after the B1-02 through B1-11 planning outputs.
INPUTS
- `ozmosis_b1_m12_b1_review_consolidation_deferred_planning_layer_v0_1.md`
- B1-02 through B1-11 QA/final-inventory/schema/import-plan outputs if available.
- Pipeline core and cross-spoke audit.
RULE
B1-12 must remain a planning shell until B1-02 through B1-11 have stable item IDs, target IDs, reviewGroups, and evidence groups.
Do not generate final B1-12 learner-facing review items.
Do not create mixed review drills yet.
Do not create a readiness score.
Do not make certification claims.
OUTPUT STRUCTURE
1. Source Verification
2. Prior Module Stability Check
3. B1-12 Dependency Ledger
4. Allowed Review Architecture
5. Forbidden Premature Actions
6. Future ReviewGroup Requirements
7. Production / External Review Safeguards
8. Deferred Item-Generation Gate
9. Final Verdict
FINAL VERDICT
Use exactly one:
- DEFERRED_UNTIL_PRIOR_MODULES_EXIST
- READY_FOR_B1_12_REVIEW_ITEM_PLANNING
- BLOCKED_BY_SOURCE_GAP
SAVE OUTPUT AS
`ozmosis_b1_m12_b1_review_consolidation_deferred_planning_update_v0_1.md`
End with:
- final verdict
- exact next recommended action.</x:v>
      </x:c>
    </x:row>
    <x:row r="43" ht="90" customHeight="1">
      <x:c r="A43" s="12" t="n">
        <x:v>42</x:v>
      </x:c>
      <x:c r="B43" s="12" t="str">
        <x:v>YES</x:v>
      </x:c>
      <x:c r="C43" s="12" t="str">
        <x:v>ALL</x:v>
      </x:c>
      <x:c r="D43" s="12" t="str">
        <x:v>B1-02 to B1-11</x:v>
      </x:c>
      <x:c r="E43" s="12" t="str">
        <x:v>IMPORT_PLAN_READINESS_AUDIT</x:v>
      </x:c>
      <x:c r="F43" s="12" t="str">
        <x:v>Cross-module import-plan readiness audit</x:v>
      </x:c>
      <x:c r="G43" s="12" t="str">
        <x:v>All B1-02 to B1-11 QA/final/schema/import-plan files; B1-12 deferred update</x:v>
      </x:c>
      <x:c r="H43" s="12" t="str">
        <x:v>ozmosis_b1_m02_m11_import_plan_readiness_audit_v0_1.md</x:v>
      </x:c>
      <x:c r="I43" s="12" t="str">
        <x:v>BLOCKED_BY_ROW_INTEGRITY; BLOCKED_BY_SCHEMA_COLLISION; BLOCKED_BY_SOURCE_GAP</x:v>
      </x:c>
      <x:c r="J43" s="12" t="str">
        <x:v>Title: Ozmosis B1-02 to B1-11 — Import-Plan Readiness Audit
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
TASK
Audit the completed B1-02 through B1-11 QA, row reconciliation, schema mapping, and import plans before any Codex implementation prompts are written.
INPUTS
- B1-02 through B1-11 QA-approved files.
- B1-02 through B1-11 final inventory files.
- B1-02 through B1-11 schema mapping files.
- B1-02 through B1-11 Codex import plan files.
- B1-12 deferred planning update.
- Pipeline core and cross-spoke audit.
CHECK
- every module has all required files;
- no row-integrity blockers;
- no duplicate item IDs / target IDs / review groups across modules;
- no module-boundary drift;
- no B2 active content;
- no copied source text;
- production remains self-marked;
- B1-12 remains deferred;
- import sequencing is sensible;
- no module depends on v0.81/Satzi/Genitive/runtime generation unless explicitly deferred.
OUTPUT STRUCTURE
1. Source Verification
2. File Presence Matrix
3. Cross-Module Count Ledger
4. Cross-Module Target/ID Collision Audit
5. Evidence/Review Audit
6. SupportPolicy/SupportPresentation Audit
7. Module Boundary Audit
8. B1-12 Deferral Audit
9. Sequential Codex Implementation Recommendation
10. Required Revisions
11. Final Verdict
FINAL VERDICT
Use exactly one:
- ALL_MODULE_IMPORT_PLANS_READY_FOR_SEQUENTIAL_CODEX_PROMPTS
- IMPORT_PLANS_READY_WITH_MINOR_CAVEATS
- IMPORT_PLANS_NEED_REVISION
- BLOCKED_BY_ROW_INTEGRITY
- BLOCKED_BY_SCHEMA_COLLISION
- BLOCKED_BY_SOURCE_GAP
SAVE OUTPUT AS
`ozmosis_b1_m02_m11_import_plan_readiness_audit_v0_1.md`
End with:
- final verdict
- exact next recommended action.</x:v>
      </x:c>
    </x:row>
  </x:sheetData>
  <x:conditionalFormatting sqref="B2:B43">
    <x:cfRule type="expression" dxfId="0" priority="1">
      <x:formula>B2="YES"</x:formula>
    </x:cfRule>
    <x:cfRule type="expression" dxfId="1" priority="2">
      <x:formula>B2="WAIT"</x:formula>
    </x:cfRule>
    <x:cfRule type="expression" dxfId="2" priority="3">
      <x:formula>B2="NO"</x:formula>
    </x:cfRule>
  </x:conditionalFormatting>
  <x:dataValidations count="1">
    <x:dataValidation type="list" sqref="B2:B43">
      <x:formula1>"YES,NO,WAIT,OPTIONAL"</x:formula1>
    </x:dataValidation>
  </x:dataValidations>
  <x:pageMargins left="0.7" right="0.7" top="0.75" bottom="0.75" header="0.3" footer="0.3"/>
  <x:tableParts count="1">
    <x:tablePart xmlns:r="http://schemas.openxmlformats.org/officeDocument/2006/relationships" r:id="R3a03cc1b84f14ff2"/>
  </x:tableParts>
</x:worksheet>
</file>

<file path=xl/worksheets/sheet5.xml><?xml version="1.0" encoding="utf-8"?>
<x:worksheet xmlns:x="http://schemas.openxmlformats.org/spreadsheetml/2006/main">
  <x:sheetFormatPr defaultRowHeight="15"/>
  <x:cols>
    <x:col min="1" max="1" width="26" hidden="0" customWidth="1"/>
    <x:col min="2" max="2" width="80" hidden="0" customWidth="1"/>
    <x:col min="3" max="3" width="46" hidden="0" customWidth="1"/>
    <x:col min="4" max="4" width="52" hidden="0" customWidth="1"/>
  </x:cols>
  <x:sheetData>
    <x:row r="1">
      <x:c r="A1" s="9" t="str">
        <x:v>Stage ID</x:v>
      </x:c>
      <x:c r="B1" s="9" t="str">
        <x:v>Purpose</x:v>
      </x:c>
      <x:c r="C1" s="9" t="str">
        <x:v>Expected Output</x:v>
      </x:c>
      <x:c r="D1" s="9" t="str">
        <x:v>Final Verdict Pattern</x:v>
      </x:c>
    </x:row>
    <x:row r="2">
      <x:c r="A2" s="12" t="str">
        <x:v>QA_REJECT_REVISE</x:v>
      </x:c>
      <x:c r="B2" s="12" t="str">
        <x:v>Module-specific QA, reject, revise, approve. Checks naturalness, scope, evidence, support, production safety.</x:v>
      </x:c>
      <x:c r="C2" s="12" t="str">
        <x:v>{internal}_phase3a_qa_approved_v0_1.md</x:v>
      </x:c>
      <x:c r="D2" s="12" t="str">
        <x:v>READY_FOR_B1_xx_ROW_RECONCILIATION</x:v>
      </x:c>
    </x:row>
    <x:row r="3">
      <x:c r="A3" s="12" t="str">
        <x:v>ROW_RECONCILIATION</x:v>
      </x:c>
      <x:c r="B3" s="12" t="str">
        <x:v>Track all rows through survivor/cut/deferred/human-check and create final inventory.</x:v>
      </x:c>
      <x:c r="C3" s="12" t="str">
        <x:v>{internal}_final_inventory_v0_1.md</x:v>
      </x:c>
      <x:c r="D3" s="12" t="str">
        <x:v>READY_FOR_B1_xx_SCHEMA_MAPPING</x:v>
      </x:c>
    </x:row>
    <x:row r="4">
      <x:c r="A4" s="12" t="str">
        <x:v>SCHEMA_MAPPING</x:v>
      </x:c>
      <x:c r="B4" s="12" t="str">
        <x:v>Map final inventory to planning schema, including answer/evidence/support/review metadata.</x:v>
      </x:c>
      <x:c r="C4" s="12" t="str">
        <x:v>{internal}_schema_mapping_v0_1.md</x:v>
      </x:c>
      <x:c r="D4" s="12" t="str">
        <x:v>READY_FOR_B1_xx_IMPORT_PLAN</x:v>
      </x:c>
    </x:row>
    <x:row r="5">
      <x:c r="A5" s="12" t="str">
        <x:v>CODEX_IMPORT_PLAN</x:v>
      </x:c>
      <x:c r="B5" s="12" t="str">
        <x:v>Plan future implementation, files to inspect, tests, and version. Does not write implementation prompt.</x:v>
      </x:c>
      <x:c r="C5" s="12" t="str">
        <x:v>{internal}_codex_import_plan_v0_1.md</x:v>
      </x:c>
      <x:c r="D5" s="12" t="str">
        <x:v>READY_FOR_B1_xx_CODEX_IMPLEMENTATION_PROMPT</x:v>
      </x:c>
    </x:row>
    <x:row r="6">
      <x:c r="A6" s="12" t="str">
        <x:v>DEFERRED_REVIEW_UPDATE</x:v>
      </x:c>
      <x:c r="B6" s="12" t="str">
        <x:v>Keep B1-12 as a deferred review/consolidation shell.</x:v>
      </x:c>
      <x:c r="C6" s="12" t="str">
        <x:v>b1_m12...deferred_planning_update.md</x:v>
      </x:c>
      <x:c r="D6" s="12" t="str">
        <x:v>DEFERRED_UNTIL_PRIOR_MODULES_EXIST</x:v>
      </x:c>
    </x:row>
    <x:row r="7">
      <x:c r="A7" s="12" t="str">
        <x:v>IMPORT_PLAN_READINESS_AUDIT</x:v>
      </x:c>
      <x:c r="B7" s="12" t="str">
        <x:v>Audit all module import plans before any sequential Codex prompts.</x:v>
      </x:c>
      <x:c r="C7" s="12" t="str">
        <x:v>b1_m02_m11_import_plan_readiness_audit.md</x:v>
      </x:c>
      <x:c r="D7" s="12" t="str">
        <x:v>ALL_MODULE_IMPORT_PLANS_READY_FOR_SEQUENTIAL_CODEX_PROMPTS</x:v>
      </x:c>
    </x:row>
  </x:sheetData>
  <x:pageMargins left="0.7" right="0.7" top="0.75" bottom="0.75" header="0.3" footer="0.3"/>
  <x:tableParts count="1">
    <x:tablePart xmlns:r="http://schemas.openxmlformats.org/officeDocument/2006/relationships" r:id="R5d5392d1849c4577"/>
  </x:tableParts>
</x:worksheet>
</file>

<file path=xl/worksheets/sheet6.xml><?xml version="1.0" encoding="utf-8"?>
<x:worksheet xmlns:x="http://schemas.openxmlformats.org/spreadsheetml/2006/main">
  <x:sheetFormatPr defaultRowHeight="15"/>
  <x:cols>
    <x:col min="1" max="1" width="28" hidden="0" customWidth="1"/>
    <x:col min="2" max="2" width="110" hidden="0" customWidth="1"/>
  </x:cols>
  <x:sheetData>
    <x:row r="1">
      <x:c r="A1" s="9" t="str">
        <x:v>Rule</x:v>
      </x:c>
      <x:c r="B1" s="9" t="str">
        <x:v>Text</x:v>
      </x:c>
    </x:row>
    <x:row r="2" ht="110" customHeight="1">
      <x:c r="A2" s="12" t="str">
        <x:v>Source hierarchy</x:v>
      </x:c>
      <x:c r="B2" s="12" t="str">
        <x:v>Use this source hierarchy unless a specific stage says otherwise:
1. Latest uploaded tested app/package in the active project.
2. ozmosis_b1_m02_m12_full_staged_content_pipeline_run_master_report_v0_1.md
3. The current module's full staged pipeline output file.
4. The current module spoke file.
5. ozmosis_b1_m02_m12_spoke_set_cross_spoke_consistency_audit_v0_1.md
6. ozmosis_b1_module_pipeline_core_v0_1.md
7. OZMOSIS_SOURCE_BRIEF_v0.80.4.md
8. OZMOSIS_DEVELOPMENT_ROADMAP_v0.80.4.md
9. B1-01 files only as process precedent.
10. TELC/Beruf/Aspekte/vocabulary PDFs only as structural inspiration; do not copy or paraphrase source text.
11. Older chats/memory only as background.</x:v>
      </x:c>
    </x:row>
    <x:row r="3" ht="110" customHeight="1">
      <x:c r="A3" s="12" t="str">
        <x:v>Non-negotiables</x:v>
      </x:c>
      <x:c r="B3" s="12" t="str">
        <x:v>Use British English. Be direct, strict, and practical.
Do not write app code.
Do not create app-ready JSON unless the current stage explicitly reaches schema mapping and still only outputs schema-planning metadata, not code.
Do not create a Codex implementation prompt unless the user explicitly asks after the import plan.
Do not import anything into the app.
Do not copy TELC/textbook/coursebook content.
Do not add B2 active content.
Do not add Genitive unless the module explicitly owns it.
Do not add adjective-ending training unless the module explicitly owns it.
Do not create runtime grammar generation.
Do not create random Madlibs.
Do not infer German morphology dynamically.
Do not let production count as correctness.
Do not treat recognition as production.
Do not treat sibling variants as independent proof.
Do not make mastery/readiness/certification claims.
Preserve static-app assumptions, localStorage/export compatibility, German LTR in Arabic UI contexts, and production as self-marked only.</x:v>
      </x:c>
    </x:row>
    <x:row r="4" ht="110" customHeight="1">
      <x:c r="A4" s="12" t="str">
        <x:v>Row integrity</x:v>
      </x:c>
      <x:c r="B4" s="12" t="str">
        <x:v>expected count = actual rows + documented cuts + documented exclusions + documented deferrals + documented source discrepancies. No silent row loss.</x:v>
      </x:c>
    </x:row>
    <x:row r="5" ht="110" customHeight="1">
      <x:c r="A5" s="12" t="str">
        <x:v>B1-12</x:v>
      </x:c>
      <x:c r="B5" s="12" t="str">
        <x:v>B1-12 remains deferred until B1-02 through B1-11 have stable item IDs, target IDs, reviewGroups, and evidence groups.</x:v>
      </x:c>
    </x:row>
    <x:row r="6" ht="110" customHeight="1">
      <x:c r="A6" s="12" t="str">
        <x:v>Implementation</x:v>
      </x:c>
      <x:c r="B6" s="12" t="str">
        <x:v>No Codex implementation prompts or app changes are created by this workbook. Import planning only.</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24" hidden="0" customWidth="1"/>
    <x:col min="4" max="4" width="34" hidden="0" customWidth="1"/>
    <x:col min="5" max="5" width="14" hidden="0" customWidth="1"/>
    <x:col min="6" max="6" width="14" hidden="0" customWidth="1"/>
  </x:cols>
  <x:sheetData>
    <x:row r="1">
      <x:c r="A1" s="4" t="str">
        <x:v>Prompt Pipeline Dashboard</x:v>
      </x:c>
    </x:row>
    <x:row r="3">
      <x:c r="A3" s="9" t="str">
        <x:v>Total prompt rows</x:v>
      </x:c>
      <x:c r="B3" s="18" t="n">
        <x:f>COUNTA('Prompt Queue'!A2:A43)</x:f>
        <x:v>42</x:v>
      </x:c>
      <x:c r="D3" s="9" t="str">
        <x:v>Stage</x:v>
      </x:c>
      <x:c r="E3" s="9" t="str">
        <x:v>Rows</x:v>
      </x:c>
      <x:c r="F3" s="9" t="str">
        <x:v>Run?</x:v>
      </x:c>
    </x:row>
    <x:row r="4">
      <x:c r="A4" s="9" t="str">
        <x:v>Run = YES</x:v>
      </x:c>
      <x:c r="B4" s="18" t="n">
        <x:f>COUNTIF('Prompt Queue'!B2:B43,"YES")</x:f>
        <x:v>42</x:v>
      </x:c>
      <x:c r="D4" s="20" t="str">
        <x:v>QA_REJECT_REVISE</x:v>
      </x:c>
      <x:c r="E4" s="20" t="n">
        <x:f>COUNTIF('Prompt Queue'!E:E,"QA_REJECT_REVISE")</x:f>
        <x:v>10</x:v>
      </x:c>
      <x:c r="F4" s="20" t="n">
        <x:f>COUNTIFS('Prompt Queue'!E:E,"QA_REJECT_REVISE",'Prompt Queue'!B:B,"YES")</x:f>
        <x:v>10</x:v>
      </x:c>
    </x:row>
    <x:row r="5">
      <x:c r="A5" s="9" t="str">
        <x:v>Modules B1-02..B1-11</x:v>
      </x:c>
      <x:c r="B5" s="18" t="n">
        <x:v>10</x:v>
      </x:c>
      <x:c r="D5" s="20" t="str">
        <x:v>ROW_RECONCILIATION</x:v>
      </x:c>
      <x:c r="E5" s="20" t="n">
        <x:f>COUNTIF('Prompt Queue'!E:E,"ROW_RECONCILIATION")</x:f>
        <x:v>10</x:v>
      </x:c>
      <x:c r="F5" s="20" t="n">
        <x:f>COUNTIFS('Prompt Queue'!E:E,"ROW_RECONCILIATION",'Prompt Queue'!B:B,"YES")</x:f>
        <x:v>10</x:v>
      </x:c>
    </x:row>
    <x:row r="6">
      <x:c r="A6" s="9" t="str">
        <x:v>B1-12 prompt rows</x:v>
      </x:c>
      <x:c r="B6" s="18" t="n">
        <x:v>1</x:v>
      </x:c>
      <x:c r="D6" s="20" t="str">
        <x:v>SCHEMA_MAPPING</x:v>
      </x:c>
      <x:c r="E6" s="20" t="n">
        <x:f>COUNTIF('Prompt Queue'!E:E,"SCHEMA_MAPPING")</x:f>
        <x:v>10</x:v>
      </x:c>
      <x:c r="F6" s="20" t="n">
        <x:f>COUNTIFS('Prompt Queue'!E:E,"SCHEMA_MAPPING",'Prompt Queue'!B:B,"YES")</x:f>
        <x:v>10</x:v>
      </x:c>
    </x:row>
    <x:row r="7">
      <x:c r="A7" s="9" t="str">
        <x:v>Final audit prompt rows</x:v>
      </x:c>
      <x:c r="B7" s="18" t="n">
        <x:v>1</x:v>
      </x:c>
      <x:c r="D7" s="20" t="str">
        <x:v>CODEX_IMPORT_PLAN</x:v>
      </x:c>
      <x:c r="E7" s="20" t="n">
        <x:f>COUNTIF('Prompt Queue'!E:E,"CODEX_IMPORT_PLAN")</x:f>
        <x:v>10</x:v>
      </x:c>
      <x:c r="F7" s="20" t="n">
        <x:f>COUNTIFS('Prompt Queue'!E:E,"CODEX_IMPORT_PLAN",'Prompt Queue'!B:B,"YES")</x:f>
        <x:v>10</x:v>
      </x:c>
    </x:row>
    <x:row r="8">
      <x:c r="A8" s="9" t="str">
        <x:v>QA/Row/Schema/Import rows</x:v>
      </x:c>
      <x:c r="B8" s="18" t="n">
        <x:v>40</x:v>
      </x:c>
      <x:c r="D8" s="20" t="str">
        <x:v>DEFERRED_REVIEW_UPDATE</x:v>
      </x:c>
      <x:c r="E8" s="20" t="n">
        <x:f>COUNTIF('Prompt Queue'!E:E,"DEFERRED_REVIEW_UPDATE")</x:f>
        <x:v>1</x:v>
      </x:c>
      <x:c r="F8" s="20" t="n">
        <x:f>COUNTIFS('Prompt Queue'!E:E,"DEFERRED_REVIEW_UPDATE",'Prompt Queue'!B:B,"YES")</x:f>
        <x:v>1</x:v>
      </x:c>
    </x:row>
    <x:row r="9">
      <x:c r="A9" s="9" t="str">
        <x:v>Workbook status</x:v>
      </x:c>
      <x:c r="B9" s="18" t="str">
        <x:v>Ready</x:v>
      </x:c>
      <x:c r="D9" s="20" t="str">
        <x:v>IMPORT_PLAN_READINESS_AUDIT</x:v>
      </x:c>
      <x:c r="E9" s="20" t="n">
        <x:f>COUNTIF('Prompt Queue'!E:E,"IMPORT_PLAN_READINESS_AUDIT")</x:f>
        <x:v>1</x:v>
      </x:c>
      <x:c r="F9" s="20" t="n">
        <x:f>COUNTIFS('Prompt Queue'!E:E,"IMPORT_PLAN_READINESS_AUDIT",'Prompt Queue'!B:B,"YES")</x:f>
        <x:v>1</x:v>
      </x:c>
    </x:row>
  </x:sheetData>
  <x:mergeCells>
    <x:mergeCell ref="A1:H1"/>
  </x:mergeCells>
  <x:pageMargins left="0.7" right="0.7" top="0.75" bottom="0.75" header="0.3" footer="0.3"/>
</x:worksheet>
</file>